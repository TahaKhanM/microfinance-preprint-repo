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ahakhan/Downloads/"/>
    </mc:Choice>
  </mc:AlternateContent>
  <xr:revisionPtr revIDLastSave="0" documentId="8_{FC338321-9C6E-5C46-A6E4-2C372ACF6AEE}" xr6:coauthVersionLast="47" xr6:coauthVersionMax="47" xr10:uidLastSave="{00000000-0000-0000-0000-000000000000}"/>
  <bookViews>
    <workbookView xWindow="0" yWindow="760" windowWidth="29400" windowHeight="16660" xr2:uid="{BE7C1C7A-C9A2-4BF6-9E46-C81C5C73AC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9" i="1" l="1"/>
  <c r="BS20" i="1"/>
  <c r="BS21" i="1"/>
  <c r="BS22" i="1"/>
  <c r="BS23" i="1"/>
  <c r="BS24" i="1"/>
  <c r="BS25" i="1"/>
  <c r="BS26" i="1"/>
  <c r="BT18" i="1"/>
  <c r="BT19" i="1"/>
  <c r="BT20" i="1"/>
  <c r="BT21" i="1"/>
  <c r="BT22" i="1"/>
  <c r="BT23" i="1"/>
  <c r="BT24" i="1"/>
  <c r="BT25" i="1"/>
  <c r="BT26" i="1"/>
  <c r="BU19" i="1"/>
  <c r="BU20" i="1"/>
  <c r="BU21" i="1"/>
  <c r="BU22" i="1"/>
  <c r="BU23" i="1"/>
  <c r="BU24" i="1"/>
  <c r="BU25" i="1"/>
  <c r="BU26" i="1"/>
  <c r="BM19" i="1"/>
  <c r="BM20" i="1"/>
  <c r="BM21" i="1"/>
  <c r="BM22" i="1"/>
  <c r="BM23" i="1"/>
  <c r="BM24" i="1"/>
  <c r="BM25" i="1"/>
  <c r="BM26" i="1"/>
  <c r="BL19" i="1"/>
  <c r="BL20" i="1"/>
  <c r="BL21" i="1"/>
  <c r="BL22" i="1"/>
  <c r="BL23" i="1"/>
  <c r="BL24" i="1"/>
  <c r="BL25" i="1"/>
  <c r="BL26" i="1"/>
  <c r="BK19" i="1"/>
  <c r="BK20" i="1"/>
  <c r="BK21" i="1"/>
  <c r="BK22" i="1"/>
  <c r="BK23" i="1"/>
  <c r="BK24" i="1"/>
  <c r="BK25" i="1"/>
  <c r="BK26" i="1"/>
  <c r="AY17" i="1"/>
  <c r="AY18" i="1"/>
  <c r="AY19" i="1"/>
  <c r="AY20" i="1"/>
  <c r="AY21" i="1"/>
  <c r="AY22" i="1"/>
  <c r="AY23" i="1"/>
  <c r="AY24" i="1"/>
  <c r="AY25" i="1"/>
  <c r="AY26" i="1"/>
  <c r="AZ19" i="1"/>
  <c r="AZ20" i="1"/>
  <c r="AZ21" i="1"/>
  <c r="AZ22" i="1"/>
  <c r="AZ23" i="1"/>
  <c r="AZ24" i="1"/>
  <c r="AZ25" i="1"/>
  <c r="BA19" i="1"/>
  <c r="BA20" i="1"/>
  <c r="BA21" i="1"/>
  <c r="BA22" i="1"/>
  <c r="BA23" i="1"/>
  <c r="BA24" i="1"/>
  <c r="BA25" i="1"/>
  <c r="AZ26" i="1"/>
  <c r="BA26" i="1"/>
  <c r="AK17" i="1"/>
  <c r="AK18" i="1"/>
  <c r="AK19" i="1"/>
  <c r="AK20" i="1"/>
  <c r="AK21" i="1"/>
  <c r="AK22" i="1"/>
  <c r="AK23" i="1"/>
  <c r="AK24" i="1"/>
  <c r="AK25" i="1"/>
  <c r="AK26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M20" i="1"/>
  <c r="AM21" i="1"/>
  <c r="AM22" i="1"/>
  <c r="AM23" i="1"/>
  <c r="AM24" i="1"/>
  <c r="AM25" i="1"/>
  <c r="AM26" i="1"/>
  <c r="AB19" i="1"/>
  <c r="AB20" i="1"/>
  <c r="AB21" i="1"/>
  <c r="AB22" i="1"/>
  <c r="AB23" i="1"/>
  <c r="AB24" i="1"/>
  <c r="AB25" i="1"/>
  <c r="AB26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D19" i="1"/>
  <c r="AD20" i="1"/>
  <c r="AD21" i="1"/>
  <c r="AD22" i="1"/>
  <c r="AD23" i="1"/>
  <c r="AD24" i="1"/>
  <c r="AD25" i="1"/>
  <c r="AD26" i="1"/>
  <c r="S18" i="1"/>
  <c r="S19" i="1"/>
  <c r="S20" i="1"/>
  <c r="S21" i="1"/>
  <c r="S22" i="1"/>
  <c r="S23" i="1"/>
  <c r="S24" i="1"/>
  <c r="S25" i="1"/>
  <c r="S26" i="1"/>
  <c r="T19" i="1"/>
  <c r="T20" i="1"/>
  <c r="T21" i="1"/>
  <c r="T22" i="1"/>
  <c r="T23" i="1"/>
  <c r="T24" i="1"/>
  <c r="T25" i="1"/>
  <c r="T26" i="1"/>
  <c r="U19" i="1"/>
  <c r="U20" i="1"/>
  <c r="U21" i="1"/>
  <c r="U22" i="1"/>
  <c r="U23" i="1"/>
  <c r="U24" i="1"/>
  <c r="U25" i="1"/>
  <c r="U26" i="1"/>
  <c r="D18" i="1"/>
  <c r="D19" i="1"/>
  <c r="D20" i="1"/>
  <c r="D21" i="1"/>
  <c r="D22" i="1"/>
  <c r="D23" i="1"/>
  <c r="D24" i="1"/>
  <c r="D25" i="1"/>
  <c r="D26" i="1"/>
  <c r="E17" i="1"/>
  <c r="E18" i="1"/>
  <c r="E25" i="1"/>
  <c r="E24" i="1"/>
  <c r="E23" i="1"/>
  <c r="E22" i="1"/>
  <c r="E21" i="1"/>
  <c r="E20" i="1"/>
  <c r="E19" i="1"/>
  <c r="E26" i="1"/>
  <c r="F19" i="1"/>
  <c r="F20" i="1"/>
  <c r="F21" i="1"/>
  <c r="F22" i="1"/>
  <c r="F23" i="1"/>
  <c r="F24" i="1"/>
  <c r="F25" i="1"/>
  <c r="F26" i="1"/>
  <c r="AX18" i="1" l="1"/>
  <c r="AX19" i="1"/>
  <c r="AX20" i="1"/>
  <c r="AX21" i="1"/>
  <c r="AX22" i="1"/>
  <c r="AX23" i="1"/>
  <c r="AX24" i="1"/>
  <c r="AX25" i="1"/>
  <c r="AX26" i="1"/>
  <c r="AX17" i="1"/>
</calcChain>
</file>

<file path=xl/sharedStrings.xml><?xml version="1.0" encoding="utf-8"?>
<sst xmlns="http://schemas.openxmlformats.org/spreadsheetml/2006/main" count="80" uniqueCount="80">
  <si>
    <t>workingAgesFemaleIndia</t>
  </si>
  <si>
    <t>annapurnaBranches</t>
  </si>
  <si>
    <t>changeAnnapurnaBranches</t>
  </si>
  <si>
    <t>totalBranches</t>
  </si>
  <si>
    <t>selfEmploymentIndia</t>
  </si>
  <si>
    <t>mfiMarketshare</t>
  </si>
  <si>
    <t>employmentRateWorld</t>
  </si>
  <si>
    <t>employmentRateIndia</t>
  </si>
  <si>
    <t>annapurnaChangeBorrowers</t>
  </si>
  <si>
    <t>percentFemaleBorrowers</t>
  </si>
  <si>
    <t>percentLoansIncomeGeneration</t>
  </si>
  <si>
    <t>fusionfinanceBranches</t>
  </si>
  <si>
    <t xml:space="preserve">fusionfinanceBorrowers </t>
  </si>
  <si>
    <t>fusionfinanceChangeBorrowers</t>
  </si>
  <si>
    <t>fusionfinancePercentBorrowersWomen</t>
  </si>
  <si>
    <t>chaitanyaBranches</t>
  </si>
  <si>
    <t>chaitanyaBorrowers</t>
  </si>
  <si>
    <t>chaitanyaChangeBorrowers</t>
  </si>
  <si>
    <t>chaitanyaIncomeGeneratingLoanPercentage</t>
  </si>
  <si>
    <t>creditaccessBranches</t>
  </si>
  <si>
    <t>creditaccessBorrowers</t>
  </si>
  <si>
    <t>creditaccessChangeBorrowers</t>
  </si>
  <si>
    <t>creditaccessPercentageBorrowersWomen</t>
  </si>
  <si>
    <t>asirvadBranches</t>
  </si>
  <si>
    <t>asirvadBorrowers</t>
  </si>
  <si>
    <t>asirvadChangeBorrowers</t>
  </si>
  <si>
    <t>spandanassphoortyBorrowers</t>
  </si>
  <si>
    <t>spandanassphoortyBranches</t>
  </si>
  <si>
    <t>muthootBorrowers</t>
  </si>
  <si>
    <t>muthootBranches</t>
  </si>
  <si>
    <t>muthootIncomeGen</t>
  </si>
  <si>
    <t>muthootFemale%</t>
  </si>
  <si>
    <t>belstarBorrowers</t>
  </si>
  <si>
    <t>belstarBranches</t>
  </si>
  <si>
    <t>belstarIncomeGen</t>
  </si>
  <si>
    <t>satinBorrowers</t>
  </si>
  <si>
    <t>satinBranches</t>
  </si>
  <si>
    <t>bandhanBorrowers</t>
  </si>
  <si>
    <t>bandhanBranches</t>
  </si>
  <si>
    <t>annapurnaBorrowers</t>
  </si>
  <si>
    <t>annapurnaTotalExpense (Rs. Lakh)</t>
  </si>
  <si>
    <t>fusionfinanceTotalExpense (Rs. Lakh)</t>
  </si>
  <si>
    <t>chaitanyaTotalExpense (Rs. Lakh)</t>
  </si>
  <si>
    <t>creditaccessTotalExpense (Rs. Lakh)</t>
  </si>
  <si>
    <t>asirvadTotalExpense (Rs. Lakh)</t>
  </si>
  <si>
    <t>spandanassphoortyTotalExpense (Rs. Lakh)</t>
  </si>
  <si>
    <t>muthootTotalExpense (Rs. Lakh)</t>
  </si>
  <si>
    <t>belstarTotalExpense (Rs. Lakh)</t>
  </si>
  <si>
    <t>satinTotalExpense (Rs. Lakh)</t>
  </si>
  <si>
    <t>bandhanTotalExpense (Rs. Lakh)</t>
  </si>
  <si>
    <t>annapurnaDisbursements (Rs. Cr)</t>
  </si>
  <si>
    <t>fusionfinanceDisbursements (Rs. Cr)</t>
  </si>
  <si>
    <t>chaitanyaDisbursements (Rs. Cr)</t>
  </si>
  <si>
    <t>creditaccessDisbursements (Rs. Cr)</t>
  </si>
  <si>
    <t>asirvadDisbursements (Rs. Cr)</t>
  </si>
  <si>
    <t>spandanassphoortyDisbursements (Rs. Cr)</t>
  </si>
  <si>
    <t>muthootDisbursements (Rs. Cr)</t>
  </si>
  <si>
    <t>satinDisbursements (Rs. Cr)</t>
  </si>
  <si>
    <t>Year</t>
  </si>
  <si>
    <t>annapurnaExpensePerBorrower</t>
  </si>
  <si>
    <t>annapurnaAverageLoanSize</t>
  </si>
  <si>
    <t>annapurnaBorrowersPerBranch</t>
  </si>
  <si>
    <t>fusionfinanceExpensePerBorrower</t>
  </si>
  <si>
    <t>fusionfinanceAverageLoanSize</t>
  </si>
  <si>
    <t>fusionfinanceAverageBorrowersPerBranch</t>
  </si>
  <si>
    <t>chaitanyaExpensePerBorrower</t>
  </si>
  <si>
    <t>chaitanyaBorrowersPerBranch</t>
  </si>
  <si>
    <t>chaitanyaAverageLoanSize</t>
  </si>
  <si>
    <t>creditaccessExpensePerBorrower</t>
  </si>
  <si>
    <t>creditaccessBorrowersPerBranch</t>
  </si>
  <si>
    <t>creditaccessAverageLoanSize</t>
  </si>
  <si>
    <t>spandanassphoortyExpensePerBorrower</t>
  </si>
  <si>
    <t>spandanassphoortyAverageLoanSize</t>
  </si>
  <si>
    <t>spandanassphoortyBorrowersPerBranch</t>
  </si>
  <si>
    <t>muthootExpensePerBorrower</t>
  </si>
  <si>
    <t>muthootAverageLoanSize</t>
  </si>
  <si>
    <t>muthootBorrowersPerBranch</t>
  </si>
  <si>
    <t>satinExpensePerBorrower</t>
  </si>
  <si>
    <t>satinBorrowersPerBranch</t>
  </si>
  <si>
    <t>satinAverageLoanSize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</si>
</sst>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</font>
    <font>
      <sz val="12"/>
      <color rgb="FF000000"/>
      <name val="Aptos Narrow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5" fillId="0" borderId="0" xfId="0" applyFont="1"/>
    <xf numFmtId="3" fontId="5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  <xf numFmtId="0" fontId="6" fillId="0" borderId="0" xfId="0" applyFont="1"/>
    <xf numFmtId="3" fontId="6" fillId="0" borderId="0" xfId="0" applyNumberFormat="1" applyFont="1"/>
    <xf numFmtId="10" fontId="6" fillId="0" borderId="0" xfId="0" applyNumberFormat="1" applyFont="1"/>
    <xf numFmtId="9" fontId="6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2" fontId="5" fillId="0" borderId="0" xfId="0" applyNumberFormat="1" applyFont="1"/>
    <xf numFmtId="2" fontId="1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CCA1-7DAD-43C9-A269-64E9CC2C6758}">
  <dimension ref="A1:IO65"/>
  <sheetViews>
    <sheetView tabSelected="1" zoomScale="109" zoomScaleNormal="85" workbookViewId="0">
      <pane xSplit="1" topLeftCell="BX1" activePane="topRight" state="frozen"/>
      <selection pane="topRight" activeCell="CA10" sqref="CA10"/>
    </sheetView>
  </sheetViews>
  <sheetFormatPr baseColWidth="10" defaultColWidth="8.83203125" defaultRowHeight="15" customHeight="1" x14ac:dyDescent="0.2"/>
  <cols>
    <col min="2" max="7" width="22.5" customWidth="1"/>
    <col min="8" max="9" width="18.5" customWidth="1"/>
    <col min="10" max="10" width="12.5" customWidth="1"/>
    <col min="11" max="11" width="18.6640625" customWidth="1"/>
    <col min="12" max="12" width="13.5" customWidth="1"/>
    <col min="13" max="13" width="20.6640625" customWidth="1"/>
    <col min="14" max="14" width="22.5" customWidth="1"/>
    <col min="15" max="15" width="21.5" customWidth="1"/>
    <col min="16" max="16" width="28.83203125" customWidth="1"/>
    <col min="17" max="17" width="26.5" customWidth="1"/>
    <col min="18" max="18" width="30.1640625" customWidth="1"/>
    <col min="19" max="19" width="49.6640625" style="20" customWidth="1"/>
    <col min="20" max="23" width="30.1640625" customWidth="1"/>
    <col min="24" max="24" width="43.83203125" customWidth="1"/>
    <col min="25" max="26" width="39.1640625" customWidth="1"/>
    <col min="27" max="30" width="39" customWidth="1"/>
    <col min="31" max="31" width="39" style="20" customWidth="1"/>
    <col min="32" max="32" width="32.1640625" customWidth="1"/>
    <col min="33" max="35" width="43.33203125" customWidth="1"/>
    <col min="36" max="39" width="38.5" customWidth="1"/>
    <col min="40" max="41" width="38.5" style="20" customWidth="1"/>
    <col min="42" max="42" width="22.83203125" customWidth="1"/>
    <col min="43" max="44" width="37.1640625" customWidth="1"/>
    <col min="45" max="45" width="41" customWidth="1"/>
    <col min="46" max="47" width="41" style="20" customWidth="1"/>
    <col min="48" max="48" width="22.1640625" customWidth="1"/>
    <col min="49" max="49" width="20" customWidth="1"/>
    <col min="50" max="50" width="27.1640625" customWidth="1"/>
    <col min="51" max="52" width="33.6640625" customWidth="1"/>
    <col min="53" max="53" width="41.6640625" customWidth="1"/>
    <col min="54" max="54" width="27.1640625" style="20" customWidth="1"/>
    <col min="55" max="55" width="24.33203125" customWidth="1"/>
    <col min="56" max="56" width="33.33203125" customWidth="1"/>
    <col min="57" max="58" width="29.5" customWidth="1"/>
    <col min="59" max="59" width="37.5" customWidth="1"/>
    <col min="60" max="60" width="37.5" style="20" customWidth="1"/>
    <col min="61" max="61" width="32.5" customWidth="1"/>
    <col min="62" max="65" width="34" customWidth="1"/>
    <col min="66" max="67" width="31.1640625" customWidth="1"/>
    <col min="68" max="68" width="29.5" customWidth="1"/>
    <col min="69" max="69" width="36.1640625" customWidth="1"/>
    <col min="70" max="75" width="32.5" customWidth="1"/>
    <col min="76" max="76" width="51.5" customWidth="1"/>
    <col min="77" max="77" width="47.1640625" customWidth="1"/>
    <col min="78" max="78" width="48" customWidth="1"/>
    <col min="79" max="79" width="26.5" customWidth="1"/>
    <col min="80" max="80" width="42.83203125" customWidth="1"/>
    <col min="81" max="81" width="32.5" customWidth="1"/>
    <col min="82" max="82" width="5.83203125" customWidth="1"/>
    <col min="83" max="83" width="20.6640625" customWidth="1"/>
    <col min="84" max="84" width="28" customWidth="1"/>
    <col min="85" max="85" width="26.6640625" customWidth="1"/>
    <col min="86" max="86" width="9.5" bestFit="1" customWidth="1"/>
    <col min="88" max="88" width="8.83203125" bestFit="1" customWidth="1"/>
    <col min="89" max="89" width="12.33203125" bestFit="1" customWidth="1"/>
    <col min="90" max="90" width="8.83203125" bestFit="1" customWidth="1"/>
    <col min="91" max="91" width="9.5" bestFit="1" customWidth="1"/>
    <col min="93" max="93" width="8.83203125" bestFit="1" customWidth="1"/>
    <col min="94" max="94" width="10" bestFit="1" customWidth="1"/>
    <col min="95" max="95" width="8.83203125" bestFit="1" customWidth="1"/>
    <col min="96" max="96" width="9.5" bestFit="1" customWidth="1"/>
  </cols>
  <sheetData>
    <row r="1" spans="1:249" ht="30" customHeight="1" x14ac:dyDescent="0.2">
      <c r="A1" t="s">
        <v>58</v>
      </c>
      <c r="B1" s="1" t="s">
        <v>0</v>
      </c>
      <c r="C1" s="1" t="s">
        <v>50</v>
      </c>
      <c r="D1" s="1" t="s">
        <v>61</v>
      </c>
      <c r="E1" s="1" t="s">
        <v>60</v>
      </c>
      <c r="F1" s="1" t="s">
        <v>59</v>
      </c>
      <c r="G1" s="1" t="s">
        <v>40</v>
      </c>
      <c r="H1" s="1" t="s">
        <v>1</v>
      </c>
      <c r="I1" s="1" t="s">
        <v>2</v>
      </c>
      <c r="J1" s="2" t="s">
        <v>3</v>
      </c>
      <c r="K1" t="s">
        <v>4</v>
      </c>
      <c r="L1" t="s">
        <v>5</v>
      </c>
      <c r="M1" t="s">
        <v>6</v>
      </c>
      <c r="N1" t="s">
        <v>7</v>
      </c>
      <c r="O1" s="1" t="s">
        <v>39</v>
      </c>
      <c r="P1" t="s">
        <v>8</v>
      </c>
      <c r="Q1" t="s">
        <v>9</v>
      </c>
      <c r="R1" t="s">
        <v>10</v>
      </c>
      <c r="S1" s="20" t="s">
        <v>64</v>
      </c>
      <c r="T1" t="s">
        <v>63</v>
      </c>
      <c r="U1" t="s">
        <v>62</v>
      </c>
      <c r="V1" s="1" t="s">
        <v>51</v>
      </c>
      <c r="W1" t="s">
        <v>41</v>
      </c>
      <c r="X1" t="s">
        <v>11</v>
      </c>
      <c r="Y1" t="s">
        <v>12</v>
      </c>
      <c r="Z1" t="s">
        <v>13</v>
      </c>
      <c r="AA1" t="s">
        <v>14</v>
      </c>
      <c r="AB1" t="s">
        <v>67</v>
      </c>
      <c r="AC1" t="s">
        <v>66</v>
      </c>
      <c r="AD1" t="s">
        <v>65</v>
      </c>
      <c r="AE1" s="23" t="s">
        <v>52</v>
      </c>
      <c r="AF1" s="7" t="s">
        <v>15</v>
      </c>
      <c r="AG1" s="7" t="s">
        <v>16</v>
      </c>
      <c r="AH1" s="20" t="s">
        <v>42</v>
      </c>
      <c r="AI1" s="7" t="s">
        <v>17</v>
      </c>
      <c r="AJ1" t="s">
        <v>18</v>
      </c>
      <c r="AK1" s="25" t="s">
        <v>70</v>
      </c>
      <c r="AL1" t="s">
        <v>69</v>
      </c>
      <c r="AM1" t="s">
        <v>68</v>
      </c>
      <c r="AN1" s="23" t="s">
        <v>53</v>
      </c>
      <c r="AO1" s="20" t="s">
        <v>43</v>
      </c>
      <c r="AP1" t="s">
        <v>19</v>
      </c>
      <c r="AQ1" t="s">
        <v>20</v>
      </c>
      <c r="AR1" t="s">
        <v>21</v>
      </c>
      <c r="AS1" t="s">
        <v>22</v>
      </c>
      <c r="AT1" s="23" t="s">
        <v>54</v>
      </c>
      <c r="AU1" s="20" t="s">
        <v>44</v>
      </c>
      <c r="AV1" t="s">
        <v>23</v>
      </c>
      <c r="AW1" t="s">
        <v>24</v>
      </c>
      <c r="AX1" t="s">
        <v>25</v>
      </c>
      <c r="AY1" t="s">
        <v>73</v>
      </c>
      <c r="AZ1" t="s">
        <v>72</v>
      </c>
      <c r="BA1" t="s">
        <v>71</v>
      </c>
      <c r="BB1" s="23" t="s">
        <v>55</v>
      </c>
      <c r="BC1" t="s">
        <v>26</v>
      </c>
      <c r="BD1" s="20" t="s">
        <v>45</v>
      </c>
      <c r="BE1" t="s">
        <v>27</v>
      </c>
      <c r="BF1" s="23" t="s">
        <v>56</v>
      </c>
      <c r="BG1" s="12" t="s">
        <v>28</v>
      </c>
      <c r="BH1" s="20" t="s">
        <v>46</v>
      </c>
      <c r="BI1" s="12" t="s">
        <v>29</v>
      </c>
      <c r="BJ1" s="12" t="s">
        <v>30</v>
      </c>
      <c r="BK1" s="12" t="s">
        <v>74</v>
      </c>
      <c r="BL1" s="12" t="s">
        <v>75</v>
      </c>
      <c r="BM1" s="12" t="s">
        <v>76</v>
      </c>
      <c r="BN1" s="12" t="s">
        <v>31</v>
      </c>
      <c r="BO1" s="12" t="s">
        <v>47</v>
      </c>
      <c r="BP1" s="12" t="s">
        <v>32</v>
      </c>
      <c r="BQ1" s="12" t="s">
        <v>33</v>
      </c>
      <c r="BR1" s="12" t="s">
        <v>34</v>
      </c>
      <c r="BS1" s="12" t="s">
        <v>79</v>
      </c>
      <c r="BT1" s="12" t="s">
        <v>78</v>
      </c>
      <c r="BU1" s="12" t="s">
        <v>77</v>
      </c>
      <c r="BV1" s="24" t="s">
        <v>57</v>
      </c>
      <c r="BW1" s="12" t="s">
        <v>48</v>
      </c>
      <c r="BX1" s="12" t="s">
        <v>35</v>
      </c>
      <c r="BY1" s="12" t="s">
        <v>36</v>
      </c>
      <c r="BZ1" s="16" t="s">
        <v>37</v>
      </c>
      <c r="CA1" t="s">
        <v>38</v>
      </c>
      <c r="CB1" s="12" t="s">
        <v>49</v>
      </c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</row>
    <row r="2" spans="1:249" ht="30" customHeight="1" x14ac:dyDescent="0.2">
      <c r="A2">
        <v>1999</v>
      </c>
      <c r="B2" s="1"/>
      <c r="C2" s="1"/>
      <c r="D2" s="1"/>
      <c r="E2" s="1"/>
      <c r="F2" s="1"/>
      <c r="G2" s="1"/>
      <c r="H2" s="1"/>
      <c r="I2" s="1"/>
      <c r="J2" s="2"/>
      <c r="M2">
        <v>44.227863149999997</v>
      </c>
      <c r="N2">
        <v>27.76811382</v>
      </c>
      <c r="O2" s="1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6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</row>
    <row r="3" spans="1:249" ht="30" customHeight="1" x14ac:dyDescent="0.2">
      <c r="A3">
        <v>2000</v>
      </c>
      <c r="B3" s="1"/>
      <c r="C3" s="1"/>
      <c r="D3" s="1"/>
      <c r="E3" s="1"/>
      <c r="F3" s="1"/>
      <c r="G3" s="1"/>
      <c r="H3" s="1"/>
      <c r="I3" s="1"/>
      <c r="J3" s="2"/>
      <c r="M3">
        <v>44.366830839999999</v>
      </c>
      <c r="N3">
        <v>28.090283100000001</v>
      </c>
      <c r="O3" s="1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6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</row>
    <row r="4" spans="1:249" ht="30" customHeight="1" x14ac:dyDescent="0.2">
      <c r="A4">
        <v>2001</v>
      </c>
      <c r="B4" s="1"/>
      <c r="C4" s="1"/>
      <c r="D4" s="1"/>
      <c r="E4" s="1"/>
      <c r="F4" s="1"/>
      <c r="G4" s="1"/>
      <c r="H4" s="1"/>
      <c r="I4" s="1"/>
      <c r="J4" s="2"/>
      <c r="M4">
        <v>44.071203629999999</v>
      </c>
      <c r="N4">
        <v>27.93926652</v>
      </c>
      <c r="O4" s="1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6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</row>
    <row r="5" spans="1:249" ht="30" customHeight="1" x14ac:dyDescent="0.2">
      <c r="A5">
        <v>2002</v>
      </c>
      <c r="B5" s="1"/>
      <c r="C5" s="1"/>
      <c r="D5" s="1"/>
      <c r="E5" s="1"/>
      <c r="F5" s="1"/>
      <c r="G5" s="1"/>
      <c r="H5" s="1"/>
      <c r="I5" s="1"/>
      <c r="J5" s="2"/>
      <c r="M5">
        <v>43.626431250000003</v>
      </c>
      <c r="N5">
        <v>27.789613939999999</v>
      </c>
      <c r="O5" s="1"/>
      <c r="AT5" s="23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6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</row>
    <row r="6" spans="1:249" ht="30" customHeight="1" x14ac:dyDescent="0.2">
      <c r="A6">
        <v>2003</v>
      </c>
      <c r="B6" s="1"/>
      <c r="C6" s="1"/>
      <c r="D6" s="1"/>
      <c r="E6" s="1"/>
      <c r="F6" s="3"/>
      <c r="G6" s="1"/>
      <c r="H6" s="1"/>
      <c r="I6" s="1"/>
      <c r="J6" s="2"/>
      <c r="M6">
        <v>43.342629299999999</v>
      </c>
      <c r="N6">
        <v>27.663402059999999</v>
      </c>
      <c r="O6" s="1"/>
      <c r="Q6" s="8"/>
      <c r="R6" s="8"/>
      <c r="S6" s="21"/>
      <c r="T6" s="8"/>
      <c r="V6" s="8"/>
      <c r="W6" s="8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6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</row>
    <row r="7" spans="1:249" ht="16" x14ac:dyDescent="0.2">
      <c r="A7">
        <v>2004</v>
      </c>
      <c r="B7" s="3">
        <v>366732579</v>
      </c>
      <c r="C7" s="3"/>
      <c r="D7" s="3"/>
      <c r="E7" s="3"/>
      <c r="F7" s="3"/>
      <c r="G7" s="3"/>
      <c r="H7" s="1"/>
      <c r="I7" s="1"/>
      <c r="J7" s="1"/>
      <c r="K7">
        <v>84.412745997255698</v>
      </c>
      <c r="M7">
        <v>43.418043109999999</v>
      </c>
      <c r="N7">
        <v>27.544784790000001</v>
      </c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Z7" s="16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</row>
    <row r="8" spans="1:249" ht="16" x14ac:dyDescent="0.2">
      <c r="A8">
        <v>2005</v>
      </c>
      <c r="B8" s="3">
        <v>375029173</v>
      </c>
      <c r="C8" s="3"/>
      <c r="D8" s="3"/>
      <c r="E8" s="3"/>
      <c r="F8" s="3"/>
      <c r="G8" s="3"/>
      <c r="H8" s="1"/>
      <c r="I8" s="1"/>
      <c r="J8" s="1"/>
      <c r="K8">
        <v>84.293272538931305</v>
      </c>
      <c r="M8">
        <v>43.439564789999999</v>
      </c>
      <c r="N8">
        <v>27.436417219999999</v>
      </c>
      <c r="BK8" s="12"/>
      <c r="BR8" s="12"/>
      <c r="BS8" s="12"/>
      <c r="BT8" s="12"/>
      <c r="BU8" s="12"/>
      <c r="BV8" s="12"/>
      <c r="BW8" s="12"/>
      <c r="BZ8" s="16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</row>
    <row r="9" spans="1:249" ht="16" x14ac:dyDescent="0.2">
      <c r="A9">
        <v>2006</v>
      </c>
      <c r="B9" s="3">
        <v>383266496</v>
      </c>
      <c r="C9" s="3"/>
      <c r="D9" s="3"/>
      <c r="E9" s="3"/>
      <c r="F9" s="3"/>
      <c r="G9" s="3"/>
      <c r="H9" s="1"/>
      <c r="I9" s="1"/>
      <c r="J9" s="1"/>
      <c r="K9">
        <v>84.113358106224595</v>
      </c>
      <c r="M9">
        <v>43.541864060000002</v>
      </c>
      <c r="N9">
        <v>27.215928170000002</v>
      </c>
      <c r="BK9" s="12"/>
      <c r="BR9" s="12"/>
      <c r="BS9" s="12"/>
      <c r="BT9" s="12"/>
      <c r="BU9" s="12"/>
      <c r="BV9" s="12"/>
      <c r="BW9" s="12"/>
      <c r="BZ9" s="16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</row>
    <row r="10" spans="1:249" ht="16" x14ac:dyDescent="0.2">
      <c r="A10">
        <v>2007</v>
      </c>
      <c r="B10" s="3">
        <v>391518086</v>
      </c>
      <c r="C10" s="3"/>
      <c r="D10" s="3"/>
      <c r="E10" s="3"/>
      <c r="F10" s="3"/>
      <c r="G10" s="3"/>
      <c r="H10" s="1"/>
      <c r="I10" s="1"/>
      <c r="J10" s="1"/>
      <c r="K10">
        <v>83.955242258819993</v>
      </c>
      <c r="L10">
        <v>15.227397811964376</v>
      </c>
      <c r="M10">
        <v>43.690723380000001</v>
      </c>
      <c r="N10">
        <v>26.99401997</v>
      </c>
      <c r="BK10" s="12"/>
      <c r="BR10" s="12"/>
      <c r="BS10" s="12"/>
      <c r="BT10" s="12"/>
      <c r="BU10" s="12"/>
      <c r="BV10" s="12"/>
      <c r="BW10" s="12"/>
      <c r="BZ10" s="16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</row>
    <row r="11" spans="1:249" ht="16" x14ac:dyDescent="0.2">
      <c r="A11">
        <v>2008</v>
      </c>
      <c r="B11" s="3">
        <v>399736050</v>
      </c>
      <c r="C11" s="3"/>
      <c r="D11" s="3"/>
      <c r="E11" s="3"/>
      <c r="F11" s="3"/>
      <c r="G11" s="3"/>
      <c r="H11" s="1"/>
      <c r="I11" s="1"/>
      <c r="J11" s="1"/>
      <c r="K11">
        <v>83.811554503326605</v>
      </c>
      <c r="L11">
        <v>15.497424713528307</v>
      </c>
      <c r="M11">
        <v>43.405715950000001</v>
      </c>
      <c r="N11">
        <v>26.765507899999999</v>
      </c>
      <c r="BK11" s="12"/>
      <c r="BR11" s="12"/>
      <c r="BS11" s="12"/>
      <c r="BT11" s="12"/>
      <c r="BU11" s="12"/>
      <c r="BV11" s="12"/>
      <c r="BW11" s="12"/>
      <c r="BZ11" s="16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</row>
    <row r="12" spans="1:249" ht="16" x14ac:dyDescent="0.2">
      <c r="A12">
        <v>2009</v>
      </c>
      <c r="B12" s="3">
        <v>407947606</v>
      </c>
      <c r="C12" s="3"/>
      <c r="D12" s="3"/>
      <c r="E12" s="3"/>
      <c r="F12" s="3"/>
      <c r="G12" s="3"/>
      <c r="H12" s="1"/>
      <c r="I12" s="1"/>
      <c r="J12" s="1"/>
      <c r="K12">
        <v>83.6317863790281</v>
      </c>
      <c r="L12">
        <v>26.441795903132743</v>
      </c>
      <c r="M12">
        <v>42.656292880000002</v>
      </c>
      <c r="N12">
        <v>26.545968160000001</v>
      </c>
      <c r="BK12" s="12"/>
      <c r="BR12" s="12"/>
      <c r="BS12" s="12"/>
      <c r="BT12" s="12"/>
      <c r="BU12" s="12"/>
      <c r="BV12" s="12"/>
      <c r="BW12" s="12"/>
      <c r="BZ12" s="16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</row>
    <row r="13" spans="1:249" ht="15.5" customHeight="1" x14ac:dyDescent="0.2">
      <c r="A13">
        <v>2010</v>
      </c>
      <c r="B13" s="3">
        <v>416286607</v>
      </c>
      <c r="C13" s="3"/>
      <c r="D13" s="3"/>
      <c r="E13" s="3"/>
      <c r="F13" s="3"/>
      <c r="G13" s="3"/>
      <c r="H13" s="1"/>
      <c r="I13" s="1"/>
      <c r="J13" s="1"/>
      <c r="K13">
        <v>83.425045511119905</v>
      </c>
      <c r="L13">
        <v>28.613616565540134</v>
      </c>
      <c r="M13">
        <v>42.446185270000001</v>
      </c>
      <c r="N13">
        <v>26.328549460000001</v>
      </c>
      <c r="BK13" s="12"/>
      <c r="BR13" s="12"/>
      <c r="BS13" s="12"/>
      <c r="BT13" s="12"/>
      <c r="BU13" s="12"/>
      <c r="BV13" s="12"/>
      <c r="BW13" s="12"/>
      <c r="BZ13" s="16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</row>
    <row r="14" spans="1:249" ht="16" x14ac:dyDescent="0.2">
      <c r="A14">
        <v>2011</v>
      </c>
      <c r="B14" s="3">
        <v>424757771</v>
      </c>
      <c r="C14" s="3"/>
      <c r="D14" s="3"/>
      <c r="E14" s="3"/>
      <c r="F14" s="3"/>
      <c r="G14" s="3"/>
      <c r="H14" s="1"/>
      <c r="I14" s="1"/>
      <c r="J14" s="1"/>
      <c r="K14">
        <v>82.270861635796905</v>
      </c>
      <c r="L14">
        <v>34.092461928649875</v>
      </c>
      <c r="M14">
        <v>42.404657960000002</v>
      </c>
      <c r="N14">
        <v>25.575758310000001</v>
      </c>
      <c r="AC14">
        <f t="shared" ref="AC14:AC25" si="0">AG14/AF14</f>
        <v>1405.3333333333333</v>
      </c>
      <c r="AF14">
        <v>9</v>
      </c>
      <c r="AG14" s="9">
        <v>12648</v>
      </c>
      <c r="AH14" s="9"/>
      <c r="AI14" s="9"/>
      <c r="BK14" s="12"/>
      <c r="BM14" s="12"/>
      <c r="BR14" s="12"/>
      <c r="BS14" s="12"/>
      <c r="BT14" s="12"/>
      <c r="BU14" s="12"/>
      <c r="BV14" s="12"/>
      <c r="BW14" s="12"/>
      <c r="BZ14" s="16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</row>
    <row r="15" spans="1:249" ht="16" x14ac:dyDescent="0.2">
      <c r="A15">
        <v>2012</v>
      </c>
      <c r="B15" s="3">
        <v>433285595</v>
      </c>
      <c r="C15" s="3"/>
      <c r="D15" s="3"/>
      <c r="E15" s="3"/>
      <c r="F15" s="3"/>
      <c r="G15" s="3"/>
      <c r="H15" s="1"/>
      <c r="I15" s="1"/>
      <c r="J15" s="1"/>
      <c r="K15">
        <v>81.054724353202801</v>
      </c>
      <c r="L15">
        <v>28.345376243947012</v>
      </c>
      <c r="M15">
        <v>42.2320572</v>
      </c>
      <c r="N15">
        <v>24.82479678</v>
      </c>
      <c r="O15" s="9">
        <v>66429</v>
      </c>
      <c r="AC15">
        <f t="shared" si="0"/>
        <v>1304.8571428571429</v>
      </c>
      <c r="AF15">
        <v>14</v>
      </c>
      <c r="AG15" s="9">
        <v>18268</v>
      </c>
      <c r="AH15" s="9"/>
      <c r="AI15" s="9">
        <v>5620</v>
      </c>
      <c r="AL15">
        <f t="shared" ref="AL15:AL25" si="1">AQ15/AP15</f>
        <v>1866.7261904761904</v>
      </c>
      <c r="AP15">
        <v>168</v>
      </c>
      <c r="AQ15" s="9">
        <v>313610</v>
      </c>
      <c r="AR15" s="9"/>
      <c r="AW15">
        <v>113000</v>
      </c>
      <c r="BK15" s="12"/>
      <c r="BL15" s="12"/>
      <c r="BM15" s="12"/>
      <c r="BR15" s="12"/>
      <c r="BS15" s="12"/>
      <c r="BT15" s="12"/>
      <c r="BU15" s="12"/>
      <c r="BV15" s="12"/>
      <c r="BW15" s="12"/>
      <c r="BZ15" s="16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</row>
    <row r="16" spans="1:249" ht="16" x14ac:dyDescent="0.2">
      <c r="A16">
        <v>2013</v>
      </c>
      <c r="B16" s="3">
        <v>441845806</v>
      </c>
      <c r="C16" s="3"/>
      <c r="D16" s="3"/>
      <c r="E16" s="3"/>
      <c r="F16" s="3"/>
      <c r="G16" s="3"/>
      <c r="H16" s="1"/>
      <c r="I16" s="1"/>
      <c r="J16" s="4">
        <v>10697</v>
      </c>
      <c r="K16">
        <v>80.007125470746999</v>
      </c>
      <c r="L16">
        <v>29.838959530647298</v>
      </c>
      <c r="M16">
        <v>42.140506100000003</v>
      </c>
      <c r="N16">
        <v>24.836150499999999</v>
      </c>
      <c r="O16" s="9">
        <v>86445</v>
      </c>
      <c r="P16" s="6">
        <v>20016</v>
      </c>
      <c r="Q16" s="10">
        <v>0.96</v>
      </c>
      <c r="R16" s="10">
        <v>0.91</v>
      </c>
      <c r="AC16">
        <f t="shared" si="0"/>
        <v>1169.25</v>
      </c>
      <c r="AF16">
        <v>24</v>
      </c>
      <c r="AG16" s="9">
        <v>28062</v>
      </c>
      <c r="AH16" s="9"/>
      <c r="AI16" s="9">
        <v>9794</v>
      </c>
      <c r="AL16">
        <f t="shared" si="1"/>
        <v>2152.2919254658386</v>
      </c>
      <c r="AP16">
        <v>161</v>
      </c>
      <c r="AQ16" s="9">
        <v>346519</v>
      </c>
      <c r="AR16" s="9">
        <v>32909</v>
      </c>
      <c r="AV16">
        <v>64</v>
      </c>
      <c r="AW16">
        <v>211000</v>
      </c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7"/>
      <c r="CK16" s="16"/>
      <c r="CL16" s="16"/>
      <c r="CM16" s="16"/>
      <c r="CN16" s="16"/>
      <c r="CO16" s="16"/>
      <c r="CP16" s="16"/>
      <c r="CQ16" s="17"/>
      <c r="CR16" s="16"/>
      <c r="CS16" s="16"/>
      <c r="CT16" s="16"/>
      <c r="CU16" s="16"/>
      <c r="CV16" s="17"/>
      <c r="CW16" s="16"/>
      <c r="CX16" s="16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</row>
    <row r="17" spans="1:102" ht="16" x14ac:dyDescent="0.2">
      <c r="A17">
        <v>2014</v>
      </c>
      <c r="B17" s="3">
        <v>450404161</v>
      </c>
      <c r="C17" s="3">
        <v>179.21</v>
      </c>
      <c r="D17" s="3"/>
      <c r="E17" s="3">
        <f t="shared" ref="E17:E26" si="2">C17/O17</f>
        <v>1.1294724170747541E-3</v>
      </c>
      <c r="F17" s="3"/>
      <c r="G17" s="3"/>
      <c r="H17" s="1"/>
      <c r="I17" s="1"/>
      <c r="J17" s="4">
        <v>11687</v>
      </c>
      <c r="K17">
        <v>78.906344563371107</v>
      </c>
      <c r="L17">
        <v>38.547392491370999</v>
      </c>
      <c r="M17">
        <v>42.187891430000001</v>
      </c>
      <c r="N17">
        <v>24.839272080000001</v>
      </c>
      <c r="O17" s="9">
        <v>158667</v>
      </c>
      <c r="P17" s="6">
        <v>72222</v>
      </c>
      <c r="Q17" s="10">
        <v>0.97</v>
      </c>
      <c r="R17" s="10">
        <v>0.8</v>
      </c>
      <c r="Y17">
        <v>127581</v>
      </c>
      <c r="AC17">
        <f t="shared" si="0"/>
        <v>1597.5517241379309</v>
      </c>
      <c r="AF17">
        <v>29</v>
      </c>
      <c r="AG17" s="9">
        <v>46329</v>
      </c>
      <c r="AH17" s="9"/>
      <c r="AI17" s="9">
        <v>18267</v>
      </c>
      <c r="AK17">
        <f t="shared" ref="AK17:AK25" si="3">AN17/AQ17</f>
        <v>3.3471768696699744E-3</v>
      </c>
      <c r="AL17">
        <f t="shared" si="1"/>
        <v>2867.5454545454545</v>
      </c>
      <c r="AN17" s="20">
        <v>1689.28</v>
      </c>
      <c r="AP17">
        <v>176</v>
      </c>
      <c r="AQ17" s="9">
        <v>504688</v>
      </c>
      <c r="AR17" s="9">
        <v>158169</v>
      </c>
      <c r="AV17">
        <v>94</v>
      </c>
      <c r="AW17">
        <v>278000</v>
      </c>
      <c r="AX17">
        <f>AW16-AW15</f>
        <v>98000</v>
      </c>
      <c r="AY17">
        <f t="shared" ref="AY17:AY25" si="4">BC17/BE17</f>
        <v>777.85765636232929</v>
      </c>
      <c r="BC17">
        <v>1082000</v>
      </c>
      <c r="BE17">
        <v>1391</v>
      </c>
      <c r="BK17" s="12"/>
      <c r="BL17" s="12"/>
      <c r="BM17" s="12"/>
      <c r="BS17" s="12"/>
      <c r="BT17" s="12"/>
      <c r="BU17" s="12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</row>
    <row r="18" spans="1:102" ht="16" x14ac:dyDescent="0.2">
      <c r="A18">
        <v>2015</v>
      </c>
      <c r="B18" s="3">
        <v>458973135</v>
      </c>
      <c r="C18" s="3">
        <v>450.67</v>
      </c>
      <c r="D18" s="3">
        <f t="shared" ref="D18:D25" si="5">O18/H18</f>
        <v>2891.8017241379312</v>
      </c>
      <c r="E18" s="3">
        <f t="shared" si="2"/>
        <v>1.3434829139451899E-3</v>
      </c>
      <c r="F18" s="3"/>
      <c r="G18" s="3"/>
      <c r="H18" s="3">
        <v>116</v>
      </c>
      <c r="I18" s="3"/>
      <c r="J18" s="4">
        <v>12221</v>
      </c>
      <c r="K18">
        <v>77.724599402770806</v>
      </c>
      <c r="L18">
        <v>41.337754332591189</v>
      </c>
      <c r="M18">
        <v>42.140680979999999</v>
      </c>
      <c r="N18">
        <v>24.81251082</v>
      </c>
      <c r="O18">
        <v>335449</v>
      </c>
      <c r="P18" s="6">
        <v>176782</v>
      </c>
      <c r="Q18" s="10">
        <v>0.97</v>
      </c>
      <c r="R18" s="10">
        <v>0.8</v>
      </c>
      <c r="S18" s="20">
        <f t="shared" ref="S18:S25" si="6">Y18/X18</f>
        <v>5042.666666666667</v>
      </c>
      <c r="X18">
        <v>42</v>
      </c>
      <c r="Y18">
        <v>211792</v>
      </c>
      <c r="Z18">
        <v>84211</v>
      </c>
      <c r="AC18">
        <f t="shared" si="0"/>
        <v>1489.2553191489362</v>
      </c>
      <c r="AF18">
        <v>47</v>
      </c>
      <c r="AG18">
        <v>69995</v>
      </c>
      <c r="AI18" s="9">
        <v>23666</v>
      </c>
      <c r="AK18">
        <f t="shared" si="3"/>
        <v>3.3292788004514228E-3</v>
      </c>
      <c r="AL18">
        <f t="shared" si="1"/>
        <v>3589.0252100840335</v>
      </c>
      <c r="AN18" s="20">
        <v>2843.83</v>
      </c>
      <c r="AP18">
        <v>238</v>
      </c>
      <c r="AQ18" s="9">
        <v>854188</v>
      </c>
      <c r="AR18" s="9">
        <v>349500</v>
      </c>
      <c r="AT18" s="20">
        <v>1229</v>
      </c>
      <c r="AV18">
        <v>141</v>
      </c>
      <c r="AW18">
        <v>619000</v>
      </c>
      <c r="AX18">
        <f>AW17-AW16</f>
        <v>67000</v>
      </c>
      <c r="AY18">
        <f t="shared" si="4"/>
        <v>1304.9555273189326</v>
      </c>
      <c r="BC18">
        <v>1027000</v>
      </c>
      <c r="BE18">
        <v>787</v>
      </c>
      <c r="BK18" s="12"/>
      <c r="BL18" s="12"/>
      <c r="BM18" s="12"/>
      <c r="BS18" s="12"/>
      <c r="BT18" s="12">
        <f t="shared" ref="BT18:BT25" si="7">BX18/BY18</f>
        <v>4456.9288389513113</v>
      </c>
      <c r="BU18" s="12"/>
      <c r="BX18" s="13">
        <v>1190000</v>
      </c>
      <c r="BY18" s="12">
        <v>267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</row>
    <row r="19" spans="1:102" ht="16" x14ac:dyDescent="0.2">
      <c r="A19">
        <v>2016</v>
      </c>
      <c r="B19" s="3">
        <v>467730978</v>
      </c>
      <c r="C19" s="3">
        <v>1034.25</v>
      </c>
      <c r="D19" s="3">
        <f t="shared" si="5"/>
        <v>3553.8636363636365</v>
      </c>
      <c r="E19" s="3">
        <f t="shared" si="2"/>
        <v>1.6535300888917311E-3</v>
      </c>
      <c r="F19" s="3">
        <f t="shared" ref="F19:F25" si="8">G19/O19</f>
        <v>2.3981582144912708E-4</v>
      </c>
      <c r="G19" s="3">
        <v>150</v>
      </c>
      <c r="H19" s="3">
        <v>176</v>
      </c>
      <c r="I19" s="3">
        <v>60</v>
      </c>
      <c r="J19" s="4">
        <v>11644</v>
      </c>
      <c r="K19">
        <v>76.516641867995006</v>
      </c>
      <c r="L19">
        <v>44.913028106370604</v>
      </c>
      <c r="M19">
        <v>42.135518650000002</v>
      </c>
      <c r="N19">
        <v>24.767034500000001</v>
      </c>
      <c r="O19">
        <v>625480</v>
      </c>
      <c r="P19" s="6">
        <v>290031</v>
      </c>
      <c r="Q19" s="10">
        <v>0.97</v>
      </c>
      <c r="R19" s="10">
        <v>0.94</v>
      </c>
      <c r="S19" s="20">
        <f t="shared" si="6"/>
        <v>7007.677419354839</v>
      </c>
      <c r="T19">
        <f t="shared" ref="T19:T25" si="9">V19/Y19</f>
        <v>1.3844953461180825E-3</v>
      </c>
      <c r="U19">
        <f t="shared" ref="U19:U25" si="10">W19/Y19</f>
        <v>2.026728749113875E-2</v>
      </c>
      <c r="V19">
        <v>601.53</v>
      </c>
      <c r="W19">
        <v>8805.65</v>
      </c>
      <c r="X19">
        <v>62</v>
      </c>
      <c r="Y19">
        <v>434476</v>
      </c>
      <c r="Z19">
        <v>222684</v>
      </c>
      <c r="AB19">
        <f t="shared" ref="AB19:AB25" si="11">AE19/AG19</f>
        <v>1.9129529872673849E-3</v>
      </c>
      <c r="AC19">
        <f t="shared" si="0"/>
        <v>1574.5542168674699</v>
      </c>
      <c r="AD19">
        <f t="shared" ref="AD19:AD25" si="12">AH19/AG19</f>
        <v>2.6759064565989227E-2</v>
      </c>
      <c r="AE19" s="20">
        <v>250</v>
      </c>
      <c r="AF19">
        <v>83</v>
      </c>
      <c r="AG19">
        <v>130688</v>
      </c>
      <c r="AH19">
        <v>3497.0886300000002</v>
      </c>
      <c r="AI19" s="9">
        <v>60693</v>
      </c>
      <c r="AK19">
        <f t="shared" si="3"/>
        <v>2.6123275957903327E-3</v>
      </c>
      <c r="AL19">
        <f t="shared" si="1"/>
        <v>4014.7281879194629</v>
      </c>
      <c r="AN19" s="20">
        <v>3125.36</v>
      </c>
      <c r="AP19">
        <v>298</v>
      </c>
      <c r="AQ19" s="9">
        <v>1196389</v>
      </c>
      <c r="AR19" s="9">
        <v>342201</v>
      </c>
      <c r="AT19" s="20">
        <v>2437</v>
      </c>
      <c r="AU19" s="20">
        <v>11982</v>
      </c>
      <c r="AV19">
        <v>346</v>
      </c>
      <c r="AW19">
        <v>763000</v>
      </c>
      <c r="AX19">
        <f>AW18-AW17</f>
        <v>341000</v>
      </c>
      <c r="AY19">
        <f t="shared" si="4"/>
        <v>2121.2723658051691</v>
      </c>
      <c r="AZ19">
        <f t="shared" ref="AZ19:AZ26" si="13">BB19/BC19</f>
        <v>1.6804123711340207E-3</v>
      </c>
      <c r="BA19">
        <f t="shared" ref="BA19:BA25" si="14">BD19/BC19</f>
        <v>2.1505662605435804E-2</v>
      </c>
      <c r="BB19" s="20">
        <v>1793</v>
      </c>
      <c r="BC19">
        <v>1067000</v>
      </c>
      <c r="BD19">
        <v>22946.542000000001</v>
      </c>
      <c r="BE19">
        <v>503</v>
      </c>
      <c r="BF19">
        <v>765.08</v>
      </c>
      <c r="BG19" s="13">
        <v>295000</v>
      </c>
      <c r="BH19" s="22">
        <v>3755.4665399999999</v>
      </c>
      <c r="BI19" s="12">
        <v>180</v>
      </c>
      <c r="BJ19" s="12"/>
      <c r="BK19" s="12">
        <f t="shared" ref="BK19:BK25" si="15">BH19/BG19</f>
        <v>1.2730395050847457E-2</v>
      </c>
      <c r="BL19" s="12">
        <f t="shared" ref="BL19:BL25" si="16">BF19/BG19</f>
        <v>2.5934915254237291E-3</v>
      </c>
      <c r="BM19" s="12">
        <f t="shared" ref="BM19:BM25" si="17">BG19/BI19</f>
        <v>1638.8888888888889</v>
      </c>
      <c r="BN19" s="12"/>
      <c r="BO19" s="12">
        <v>4889.0649999999996</v>
      </c>
      <c r="BP19" s="13">
        <v>209000</v>
      </c>
      <c r="BQ19" s="12">
        <v>76</v>
      </c>
      <c r="BR19" s="12"/>
      <c r="BS19" s="12">
        <f t="shared" ref="BS19:BS25" si="18">BV19/BX19</f>
        <v>3.0190270270270272E-4</v>
      </c>
      <c r="BT19" s="12">
        <f t="shared" si="7"/>
        <v>4292.3433874709981</v>
      </c>
      <c r="BU19" s="12">
        <f t="shared" ref="BU19:BU25" si="19">BW19/BX19</f>
        <v>2.5275675675675676E-2</v>
      </c>
      <c r="BV19" s="12">
        <v>558.52</v>
      </c>
      <c r="BW19" s="12">
        <v>46760</v>
      </c>
      <c r="BX19" s="13">
        <v>1850000</v>
      </c>
      <c r="BY19" s="12">
        <v>431</v>
      </c>
      <c r="BZ19" s="17">
        <v>840000</v>
      </c>
      <c r="CA19" s="16">
        <v>656</v>
      </c>
      <c r="CB19" s="16">
        <v>58014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</row>
    <row r="20" spans="1:102" ht="16" x14ac:dyDescent="0.2">
      <c r="A20">
        <v>2017</v>
      </c>
      <c r="B20" s="3">
        <v>476545581</v>
      </c>
      <c r="C20" s="3">
        <v>1147.33</v>
      </c>
      <c r="D20" s="3">
        <f t="shared" si="5"/>
        <v>3657.4918699186992</v>
      </c>
      <c r="E20" s="3">
        <f t="shared" si="2"/>
        <v>1.2751752444864811E-3</v>
      </c>
      <c r="F20" s="3">
        <f t="shared" si="8"/>
        <v>2.4229140988037696E-4</v>
      </c>
      <c r="G20" s="3">
        <v>218</v>
      </c>
      <c r="H20" s="3">
        <v>246</v>
      </c>
      <c r="I20" s="3">
        <v>70</v>
      </c>
      <c r="J20" s="4">
        <v>10233</v>
      </c>
      <c r="K20">
        <v>76.540419923130102</v>
      </c>
      <c r="L20">
        <v>32.169313555355942</v>
      </c>
      <c r="M20">
        <v>42.156228579999997</v>
      </c>
      <c r="N20">
        <v>24.674296309999999</v>
      </c>
      <c r="O20">
        <v>899743</v>
      </c>
      <c r="P20" s="6">
        <v>274263</v>
      </c>
      <c r="Q20" s="10">
        <v>0.96</v>
      </c>
      <c r="R20" s="10">
        <v>0.85</v>
      </c>
      <c r="S20" s="20">
        <f t="shared" si="6"/>
        <v>4549.333333333333</v>
      </c>
      <c r="T20">
        <f t="shared" si="9"/>
        <v>1.2866500586166472E-3</v>
      </c>
      <c r="U20">
        <f t="shared" si="10"/>
        <v>2.875555392731536E-2</v>
      </c>
      <c r="V20">
        <v>878.01</v>
      </c>
      <c r="W20">
        <v>19622.79</v>
      </c>
      <c r="X20">
        <v>150</v>
      </c>
      <c r="Y20">
        <v>682400</v>
      </c>
      <c r="Z20">
        <v>247924</v>
      </c>
      <c r="AA20" s="10">
        <v>1</v>
      </c>
      <c r="AB20">
        <f t="shared" si="11"/>
        <v>2.2720917225950783E-3</v>
      </c>
      <c r="AC20">
        <f t="shared" si="0"/>
        <v>1505.6842105263158</v>
      </c>
      <c r="AD20">
        <f t="shared" si="12"/>
        <v>3.7189944013329604E-2</v>
      </c>
      <c r="AE20" s="20">
        <v>390</v>
      </c>
      <c r="AF20">
        <v>114</v>
      </c>
      <c r="AG20">
        <v>171648</v>
      </c>
      <c r="AH20">
        <v>6383.5795099999996</v>
      </c>
      <c r="AI20" s="9">
        <v>40960</v>
      </c>
      <c r="AK20">
        <f t="shared" si="3"/>
        <v>2.3461592031430783E-3</v>
      </c>
      <c r="AL20">
        <f t="shared" si="1"/>
        <v>3690.3256997455469</v>
      </c>
      <c r="AM20">
        <f t="shared" ref="AM20:AM25" si="20">AO20/AQ20</f>
        <v>4.0865739317023121E-2</v>
      </c>
      <c r="AN20" s="20">
        <v>3402.63</v>
      </c>
      <c r="AO20" s="20">
        <v>59267.5</v>
      </c>
      <c r="AP20">
        <v>393</v>
      </c>
      <c r="AQ20" s="9">
        <v>1450298</v>
      </c>
      <c r="AR20" s="9">
        <v>253909</v>
      </c>
      <c r="AT20" s="20">
        <v>2107</v>
      </c>
      <c r="AU20" s="20">
        <v>31111</v>
      </c>
      <c r="AV20">
        <v>763</v>
      </c>
      <c r="AW20">
        <v>1194000</v>
      </c>
      <c r="AX20">
        <f>AW20-AW18</f>
        <v>575000</v>
      </c>
      <c r="AY20">
        <f t="shared" si="4"/>
        <v>2032.319391634981</v>
      </c>
      <c r="AZ20">
        <f t="shared" si="13"/>
        <v>1.9262581852198316E-3</v>
      </c>
      <c r="BA20">
        <f t="shared" si="14"/>
        <v>3.2300395986903652E-2</v>
      </c>
      <c r="BB20" s="20">
        <v>2059.17</v>
      </c>
      <c r="BC20">
        <v>1069000</v>
      </c>
      <c r="BD20">
        <v>34529.123310000003</v>
      </c>
      <c r="BE20">
        <v>526</v>
      </c>
      <c r="BF20">
        <v>2028.56</v>
      </c>
      <c r="BG20" s="13">
        <v>765000</v>
      </c>
      <c r="BH20" s="22">
        <v>18662.27218</v>
      </c>
      <c r="BI20" s="12">
        <v>399</v>
      </c>
      <c r="BJ20" s="12"/>
      <c r="BK20" s="12">
        <f t="shared" si="15"/>
        <v>2.439512703267974E-2</v>
      </c>
      <c r="BL20" s="12">
        <f t="shared" si="16"/>
        <v>2.6517124183006533E-3</v>
      </c>
      <c r="BM20" s="12">
        <f t="shared" si="17"/>
        <v>1917.2932330827068</v>
      </c>
      <c r="BN20" s="12"/>
      <c r="BO20" s="12">
        <v>8741.5003699999997</v>
      </c>
      <c r="BP20" s="13">
        <v>337000</v>
      </c>
      <c r="BQ20" s="12">
        <v>155</v>
      </c>
      <c r="BR20" s="12"/>
      <c r="BS20" s="12">
        <f t="shared" si="18"/>
        <v>2.930830188679245E-4</v>
      </c>
      <c r="BT20" s="12">
        <f t="shared" si="7"/>
        <v>3455.0195567144719</v>
      </c>
      <c r="BU20" s="12">
        <f t="shared" si="19"/>
        <v>2.7652075471698113E-2</v>
      </c>
      <c r="BV20" s="12">
        <v>776.67</v>
      </c>
      <c r="BW20" s="12">
        <v>73278</v>
      </c>
      <c r="BX20" s="13">
        <v>2650000</v>
      </c>
      <c r="BY20" s="12">
        <v>767</v>
      </c>
      <c r="BZ20" s="9">
        <v>1050000</v>
      </c>
      <c r="CA20">
        <v>840</v>
      </c>
      <c r="CB20">
        <v>95515</v>
      </c>
    </row>
    <row r="21" spans="1:102" ht="16" x14ac:dyDescent="0.2">
      <c r="A21">
        <v>2018</v>
      </c>
      <c r="B21" s="3">
        <v>485077650</v>
      </c>
      <c r="C21" s="3">
        <v>2073</v>
      </c>
      <c r="D21" s="3">
        <f t="shared" si="5"/>
        <v>3204.5561497326203</v>
      </c>
      <c r="E21" s="3">
        <f t="shared" si="2"/>
        <v>1.7296563048600588E-3</v>
      </c>
      <c r="F21" s="3">
        <f t="shared" si="8"/>
        <v>3.5337387276137583E-2</v>
      </c>
      <c r="G21" s="3">
        <v>42352</v>
      </c>
      <c r="H21" s="3">
        <v>374</v>
      </c>
      <c r="I21" s="3">
        <v>128</v>
      </c>
      <c r="J21" s="4">
        <v>14026</v>
      </c>
      <c r="K21">
        <v>74.463826881838102</v>
      </c>
      <c r="L21">
        <v>35.871494850358779</v>
      </c>
      <c r="M21">
        <v>42.210052099999999</v>
      </c>
      <c r="N21">
        <v>24.556647850000001</v>
      </c>
      <c r="O21">
        <v>1198504</v>
      </c>
      <c r="P21" s="6">
        <v>298761</v>
      </c>
      <c r="Q21" s="10">
        <v>0.96</v>
      </c>
      <c r="R21" s="10">
        <v>0.93</v>
      </c>
      <c r="S21" s="20">
        <f t="shared" si="6"/>
        <v>3908.8353413654618</v>
      </c>
      <c r="T21">
        <f t="shared" si="9"/>
        <v>1.7749820199321894E-3</v>
      </c>
      <c r="U21">
        <f t="shared" si="10"/>
        <v>3.2972105209082503E-2</v>
      </c>
      <c r="V21">
        <v>1727.59</v>
      </c>
      <c r="W21">
        <v>32091.75</v>
      </c>
      <c r="X21">
        <v>249</v>
      </c>
      <c r="Y21">
        <v>973300</v>
      </c>
      <c r="Z21">
        <v>290900</v>
      </c>
      <c r="AA21" s="10">
        <v>1</v>
      </c>
      <c r="AB21">
        <f t="shared" si="11"/>
        <v>2.0054610246363173E-3</v>
      </c>
      <c r="AC21">
        <f t="shared" si="0"/>
        <v>1788.2206896551725</v>
      </c>
      <c r="AD21">
        <f t="shared" si="12"/>
        <v>3.3579543526217545E-2</v>
      </c>
      <c r="AE21" s="20">
        <v>520</v>
      </c>
      <c r="AF21">
        <v>145</v>
      </c>
      <c r="AG21">
        <v>259292</v>
      </c>
      <c r="AH21">
        <v>8706.9069999999992</v>
      </c>
      <c r="AI21" s="9">
        <v>87644</v>
      </c>
      <c r="AK21">
        <f t="shared" si="3"/>
        <v>3.2850651749774759E-3</v>
      </c>
      <c r="AL21">
        <f t="shared" si="1"/>
        <v>3587.8372093023254</v>
      </c>
      <c r="AM21">
        <f t="shared" si="20"/>
        <v>3.6857189773373003E-2</v>
      </c>
      <c r="AN21" s="20">
        <v>6081.72</v>
      </c>
      <c r="AO21" s="20">
        <v>68234.600000000006</v>
      </c>
      <c r="AP21">
        <v>516</v>
      </c>
      <c r="AQ21" s="9">
        <v>1851324</v>
      </c>
      <c r="AR21" s="9">
        <v>401026</v>
      </c>
      <c r="AT21" s="20">
        <v>2875</v>
      </c>
      <c r="AU21" s="20">
        <v>48407.34</v>
      </c>
      <c r="AV21">
        <v>832</v>
      </c>
      <c r="AW21">
        <v>1502000</v>
      </c>
      <c r="AX21">
        <f t="shared" ref="AX21:AX26" si="21">AW21-AW20</f>
        <v>308000</v>
      </c>
      <c r="AY21">
        <f t="shared" si="4"/>
        <v>2285.3025936599424</v>
      </c>
      <c r="AZ21">
        <f t="shared" si="13"/>
        <v>3.1331651954602771E-3</v>
      </c>
      <c r="BA21">
        <f t="shared" si="14"/>
        <v>1.9216771752837328E-2</v>
      </c>
      <c r="BB21" s="20">
        <v>4969.2</v>
      </c>
      <c r="BC21">
        <v>1586000</v>
      </c>
      <c r="BD21">
        <v>30477.8</v>
      </c>
      <c r="BE21">
        <v>694</v>
      </c>
      <c r="BF21">
        <v>3036.3</v>
      </c>
      <c r="BG21" s="13">
        <v>1210000</v>
      </c>
      <c r="BH21" s="22">
        <v>47618.8</v>
      </c>
      <c r="BI21" s="12">
        <v>467</v>
      </c>
      <c r="BJ21" s="12"/>
      <c r="BK21" s="12">
        <f t="shared" si="15"/>
        <v>3.9354380165289256E-2</v>
      </c>
      <c r="BL21" s="12">
        <f t="shared" si="16"/>
        <v>2.5093388429752068E-3</v>
      </c>
      <c r="BM21" s="12">
        <f t="shared" si="17"/>
        <v>2591.0064239828694</v>
      </c>
      <c r="BN21" s="12"/>
      <c r="BO21" s="12">
        <v>17444.68</v>
      </c>
      <c r="BP21" s="13">
        <v>490000</v>
      </c>
      <c r="BQ21" s="12">
        <v>234</v>
      </c>
      <c r="BR21" s="12"/>
      <c r="BS21" s="12">
        <f t="shared" si="18"/>
        <v>3.4636524822695034E-4</v>
      </c>
      <c r="BT21" s="12">
        <f t="shared" si="7"/>
        <v>2834.1708542713568</v>
      </c>
      <c r="BU21" s="12">
        <f t="shared" si="19"/>
        <v>3.0146361702127662E-2</v>
      </c>
      <c r="BV21" s="12">
        <v>976.75</v>
      </c>
      <c r="BW21" s="12">
        <v>85012.74</v>
      </c>
      <c r="BX21" s="13">
        <v>2820000</v>
      </c>
      <c r="BY21" s="12">
        <v>995</v>
      </c>
      <c r="BZ21" s="9">
        <v>1300000</v>
      </c>
      <c r="CA21">
        <v>936</v>
      </c>
      <c r="CB21">
        <v>122239</v>
      </c>
    </row>
    <row r="22" spans="1:102" ht="16" x14ac:dyDescent="0.2">
      <c r="A22">
        <v>2019</v>
      </c>
      <c r="B22" s="3">
        <v>493345106</v>
      </c>
      <c r="C22" s="3">
        <v>3015</v>
      </c>
      <c r="D22" s="3">
        <f t="shared" si="5"/>
        <v>2598.7491228070176</v>
      </c>
      <c r="E22" s="3">
        <f t="shared" si="2"/>
        <v>2.0353921961105445E-3</v>
      </c>
      <c r="F22" s="3">
        <f t="shared" si="8"/>
        <v>4.587969785733622E-2</v>
      </c>
      <c r="G22" s="3">
        <v>67961</v>
      </c>
      <c r="H22" s="3">
        <v>570</v>
      </c>
      <c r="I22" s="3">
        <v>196</v>
      </c>
      <c r="J22" s="4">
        <v>17218</v>
      </c>
      <c r="K22">
        <v>74.129906931715396</v>
      </c>
      <c r="L22">
        <v>42.598370571376719</v>
      </c>
      <c r="M22">
        <v>42.375019899999998</v>
      </c>
      <c r="N22">
        <v>24.85349416</v>
      </c>
      <c r="O22">
        <v>1481287</v>
      </c>
      <c r="P22" s="6">
        <v>282783</v>
      </c>
      <c r="Q22" s="10">
        <v>0.99</v>
      </c>
      <c r="R22" s="10">
        <v>0.89</v>
      </c>
      <c r="S22" s="20">
        <f t="shared" si="6"/>
        <v>4208.4206128133701</v>
      </c>
      <c r="T22">
        <f t="shared" si="9"/>
        <v>1.8668301978458097E-3</v>
      </c>
      <c r="U22">
        <f t="shared" si="10"/>
        <v>2.8025963332567745E-2</v>
      </c>
      <c r="V22">
        <v>2820.45</v>
      </c>
      <c r="W22">
        <v>42342.27</v>
      </c>
      <c r="X22">
        <v>359</v>
      </c>
      <c r="Y22">
        <v>1510823</v>
      </c>
      <c r="Z22">
        <v>537523</v>
      </c>
      <c r="AA22" s="10">
        <v>1</v>
      </c>
      <c r="AB22">
        <f t="shared" si="11"/>
        <v>2.3768115942028986E-3</v>
      </c>
      <c r="AC22">
        <f t="shared" si="0"/>
        <v>1960.2272727272727</v>
      </c>
      <c r="AD22">
        <f t="shared" si="12"/>
        <v>2.9179246376811595E-2</v>
      </c>
      <c r="AE22" s="20">
        <v>820</v>
      </c>
      <c r="AF22">
        <v>176</v>
      </c>
      <c r="AG22">
        <v>345000</v>
      </c>
      <c r="AH22">
        <v>10066.84</v>
      </c>
      <c r="AI22" s="9">
        <v>85708</v>
      </c>
      <c r="AJ22" s="10">
        <v>0.83</v>
      </c>
      <c r="AK22">
        <f t="shared" si="3"/>
        <v>3.3286407159662766E-3</v>
      </c>
      <c r="AL22">
        <f t="shared" si="1"/>
        <v>3686.323880597015</v>
      </c>
      <c r="AM22">
        <f t="shared" si="20"/>
        <v>2.1997807952508608E-2</v>
      </c>
      <c r="AN22" s="20">
        <v>8221.2000000000007</v>
      </c>
      <c r="AO22" s="20">
        <v>54331</v>
      </c>
      <c r="AP22">
        <v>670</v>
      </c>
      <c r="AQ22" s="9">
        <v>2469837</v>
      </c>
      <c r="AR22" s="9">
        <v>618513</v>
      </c>
      <c r="AT22" s="20">
        <v>4286</v>
      </c>
      <c r="AU22" s="20">
        <v>47583.64</v>
      </c>
      <c r="AV22">
        <v>942</v>
      </c>
      <c r="AW22">
        <v>1807000</v>
      </c>
      <c r="AX22">
        <f t="shared" si="21"/>
        <v>305000</v>
      </c>
      <c r="AY22">
        <f t="shared" si="4"/>
        <v>2672.9699666295883</v>
      </c>
      <c r="AZ22">
        <f t="shared" si="13"/>
        <v>3.3309862671660425E-3</v>
      </c>
      <c r="BA22">
        <f t="shared" si="14"/>
        <v>2.3817186849771119E-2</v>
      </c>
      <c r="BB22" s="20">
        <v>8004.36</v>
      </c>
      <c r="BC22">
        <v>2403000</v>
      </c>
      <c r="BD22">
        <v>57232.7</v>
      </c>
      <c r="BE22">
        <v>899</v>
      </c>
      <c r="BF22">
        <v>4557.6499999999996</v>
      </c>
      <c r="BG22" s="13">
        <v>1595000</v>
      </c>
      <c r="BH22" s="22">
        <v>47990.3</v>
      </c>
      <c r="BI22" s="12">
        <v>557</v>
      </c>
      <c r="BJ22" s="12"/>
      <c r="BK22" s="12">
        <f t="shared" si="15"/>
        <v>3.0087962382445144E-2</v>
      </c>
      <c r="BL22" s="12">
        <f t="shared" si="16"/>
        <v>2.8574608150470217E-3</v>
      </c>
      <c r="BM22" s="12">
        <f t="shared" si="17"/>
        <v>2863.5547576301615</v>
      </c>
      <c r="BN22" s="12"/>
      <c r="BO22" s="12">
        <v>26497.040000000001</v>
      </c>
      <c r="BP22" s="13">
        <v>798000</v>
      </c>
      <c r="BQ22" s="12">
        <v>400</v>
      </c>
      <c r="BR22" s="12"/>
      <c r="BS22" s="12">
        <f t="shared" si="18"/>
        <v>4.3594010300332706E-4</v>
      </c>
      <c r="BT22" s="12">
        <f t="shared" si="7"/>
        <v>2708.1745485812553</v>
      </c>
      <c r="BU22" s="12">
        <f t="shared" si="19"/>
        <v>3.3890774309302714E-2</v>
      </c>
      <c r="BV22" s="12">
        <v>1373.04</v>
      </c>
      <c r="BW22" s="12">
        <v>106742.62</v>
      </c>
      <c r="BX22" s="13">
        <v>3149607</v>
      </c>
      <c r="BY22" s="12">
        <v>1163</v>
      </c>
      <c r="BZ22" s="9">
        <v>1650000</v>
      </c>
      <c r="CA22">
        <v>986</v>
      </c>
      <c r="CB22">
        <v>173279</v>
      </c>
    </row>
    <row r="23" spans="1:102" ht="16" x14ac:dyDescent="0.2">
      <c r="A23">
        <v>2020</v>
      </c>
      <c r="B23" s="3">
        <v>501359759</v>
      </c>
      <c r="C23" s="3">
        <v>3755</v>
      </c>
      <c r="D23" s="3">
        <f t="shared" si="5"/>
        <v>2442.6364902506962</v>
      </c>
      <c r="E23" s="3">
        <f t="shared" si="2"/>
        <v>2.1410492452730136E-3</v>
      </c>
      <c r="F23" s="3">
        <f t="shared" si="8"/>
        <v>5.5618244362426322E-2</v>
      </c>
      <c r="G23" s="3">
        <v>97544</v>
      </c>
      <c r="H23" s="3">
        <v>718</v>
      </c>
      <c r="I23" s="3">
        <v>148</v>
      </c>
      <c r="J23" s="4">
        <v>19073</v>
      </c>
      <c r="K23">
        <v>77.201836565034398</v>
      </c>
      <c r="L23">
        <v>42.946867372907199</v>
      </c>
      <c r="M23">
        <v>40.163572469999998</v>
      </c>
      <c r="N23">
        <v>24.192155710000002</v>
      </c>
      <c r="O23">
        <v>1753813</v>
      </c>
      <c r="P23" s="6">
        <v>272526</v>
      </c>
      <c r="Q23" s="10">
        <v>0.98</v>
      </c>
      <c r="R23" s="10">
        <v>0.93</v>
      </c>
      <c r="S23" s="20">
        <f t="shared" si="6"/>
        <v>3683.2777777777778</v>
      </c>
      <c r="T23">
        <f t="shared" si="9"/>
        <v>1.9252822171418229E-3</v>
      </c>
      <c r="U23">
        <f t="shared" si="10"/>
        <v>3.3954185906704043E-2</v>
      </c>
      <c r="V23">
        <v>3574.04</v>
      </c>
      <c r="W23">
        <v>63031.6</v>
      </c>
      <c r="X23">
        <v>504</v>
      </c>
      <c r="Y23">
        <v>1856372</v>
      </c>
      <c r="Z23">
        <v>345549</v>
      </c>
      <c r="AA23" s="10">
        <v>1</v>
      </c>
      <c r="AB23">
        <f t="shared" si="11"/>
        <v>2.7224053971203191E-3</v>
      </c>
      <c r="AC23">
        <f t="shared" si="0"/>
        <v>1818.4638297872341</v>
      </c>
      <c r="AD23">
        <f t="shared" si="12"/>
        <v>3.9322434881908737E-2</v>
      </c>
      <c r="AE23" s="20">
        <v>1163.3900000000001</v>
      </c>
      <c r="AF23">
        <v>235</v>
      </c>
      <c r="AG23">
        <v>427339</v>
      </c>
      <c r="AH23">
        <v>16804.009999999998</v>
      </c>
      <c r="AI23" s="9">
        <v>82339</v>
      </c>
      <c r="AJ23" s="10">
        <v>0.87</v>
      </c>
      <c r="AK23">
        <f t="shared" si="3"/>
        <v>3.5762723766590157E-3</v>
      </c>
      <c r="AL23">
        <f t="shared" si="1"/>
        <v>3127.0570505920346</v>
      </c>
      <c r="AM23">
        <f t="shared" si="20"/>
        <v>2.7042005675661163E-2</v>
      </c>
      <c r="AN23" s="20">
        <v>10389.200000000001</v>
      </c>
      <c r="AO23" s="20">
        <v>78558</v>
      </c>
      <c r="AP23">
        <v>929</v>
      </c>
      <c r="AQ23" s="9">
        <v>2905036</v>
      </c>
      <c r="AR23" s="9">
        <v>435199</v>
      </c>
      <c r="AT23" s="20">
        <v>4661</v>
      </c>
      <c r="AU23" s="20">
        <v>73611.710000000006</v>
      </c>
      <c r="AV23">
        <v>1020</v>
      </c>
      <c r="AW23">
        <v>2366000</v>
      </c>
      <c r="AX23">
        <f t="shared" si="21"/>
        <v>559000</v>
      </c>
      <c r="AY23">
        <f t="shared" si="4"/>
        <v>2560.7763023493362</v>
      </c>
      <c r="AZ23">
        <f t="shared" si="13"/>
        <v>3.0802433187076188E-3</v>
      </c>
      <c r="BA23">
        <f t="shared" si="14"/>
        <v>5.1340725967291584E-2</v>
      </c>
      <c r="BB23" s="20">
        <v>7722.17</v>
      </c>
      <c r="BC23">
        <v>2507000</v>
      </c>
      <c r="BD23">
        <v>128711.2</v>
      </c>
      <c r="BE23">
        <v>979</v>
      </c>
      <c r="BF23">
        <v>4082.2339999999999</v>
      </c>
      <c r="BG23" s="13">
        <v>1883000</v>
      </c>
      <c r="BH23" s="22">
        <v>84703.6</v>
      </c>
      <c r="BI23" s="12">
        <v>692</v>
      </c>
      <c r="BJ23" s="12"/>
      <c r="BK23" s="12">
        <f t="shared" si="15"/>
        <v>4.4983324482209243E-2</v>
      </c>
      <c r="BL23" s="12">
        <f t="shared" si="16"/>
        <v>2.1679415825809878E-3</v>
      </c>
      <c r="BM23" s="12">
        <f t="shared" si="17"/>
        <v>2721.0982658959538</v>
      </c>
      <c r="BN23" s="12"/>
      <c r="BO23" s="12">
        <v>36750.199999999997</v>
      </c>
      <c r="BP23" s="13">
        <v>1204000</v>
      </c>
      <c r="BQ23" s="12">
        <v>603</v>
      </c>
      <c r="BR23" s="12"/>
      <c r="BS23" s="12">
        <f t="shared" si="18"/>
        <v>4.5479720310595751E-4</v>
      </c>
      <c r="BT23" s="12">
        <f t="shared" si="7"/>
        <v>2227.2407809110628</v>
      </c>
      <c r="BU23" s="12">
        <f t="shared" si="19"/>
        <v>3.855944308850446E-2</v>
      </c>
      <c r="BV23" s="12">
        <v>1400.9</v>
      </c>
      <c r="BW23" s="12">
        <v>118773.65</v>
      </c>
      <c r="BX23" s="13">
        <v>3080274</v>
      </c>
      <c r="BY23" s="12">
        <v>1383</v>
      </c>
      <c r="BZ23" s="9">
        <v>2010000</v>
      </c>
      <c r="CA23" s="9">
        <v>1018</v>
      </c>
      <c r="CB23">
        <v>234628</v>
      </c>
    </row>
    <row r="24" spans="1:102" ht="16" x14ac:dyDescent="0.2">
      <c r="A24">
        <v>2021</v>
      </c>
      <c r="B24" s="3">
        <v>508369984</v>
      </c>
      <c r="C24" s="3">
        <v>2779</v>
      </c>
      <c r="D24" s="3">
        <f t="shared" si="5"/>
        <v>2123.8689655172416</v>
      </c>
      <c r="E24" s="3">
        <f t="shared" si="2"/>
        <v>1.5039783176008217E-3</v>
      </c>
      <c r="F24" s="3">
        <f t="shared" si="8"/>
        <v>6.1101892772136734E-2</v>
      </c>
      <c r="G24" s="3">
        <v>112902</v>
      </c>
      <c r="H24" s="3">
        <v>870</v>
      </c>
      <c r="I24" s="3">
        <v>152</v>
      </c>
      <c r="J24" s="4">
        <v>20065</v>
      </c>
      <c r="K24">
        <v>76.654101525255498</v>
      </c>
      <c r="L24">
        <v>42.63625288551718</v>
      </c>
      <c r="M24">
        <v>41.474618710000001</v>
      </c>
      <c r="N24">
        <v>25.289931710000001</v>
      </c>
      <c r="O24">
        <v>1847766</v>
      </c>
      <c r="P24" s="6">
        <v>93953</v>
      </c>
      <c r="Q24" s="10">
        <v>0.98</v>
      </c>
      <c r="R24" s="10">
        <v>0.9</v>
      </c>
      <c r="S24" s="20">
        <f t="shared" si="6"/>
        <v>3636.7664974619288</v>
      </c>
      <c r="T24">
        <f t="shared" si="9"/>
        <v>1.7262596838362114E-3</v>
      </c>
      <c r="U24">
        <f t="shared" si="10"/>
        <v>3.7979155354996838E-2</v>
      </c>
      <c r="V24">
        <v>3710.3</v>
      </c>
      <c r="W24">
        <v>81629.7</v>
      </c>
      <c r="X24">
        <v>591</v>
      </c>
      <c r="Y24">
        <v>2149329</v>
      </c>
      <c r="Z24">
        <v>292957</v>
      </c>
      <c r="AA24" s="10">
        <v>1</v>
      </c>
      <c r="AB24">
        <f t="shared" si="11"/>
        <v>2.5037894982315677E-3</v>
      </c>
      <c r="AC24">
        <f t="shared" si="0"/>
        <v>1871.2</v>
      </c>
      <c r="AD24">
        <f t="shared" si="12"/>
        <v>4.053418321738117E-2</v>
      </c>
      <c r="AE24" s="20">
        <v>1288.4000000000001</v>
      </c>
      <c r="AF24">
        <v>275</v>
      </c>
      <c r="AG24">
        <v>514580</v>
      </c>
      <c r="AH24">
        <v>20858.080000000002</v>
      </c>
      <c r="AI24" s="9">
        <v>87241</v>
      </c>
      <c r="AJ24" s="10">
        <v>0.92</v>
      </c>
      <c r="AK24">
        <f t="shared" si="3"/>
        <v>2.8161636828644503E-3</v>
      </c>
      <c r="AL24">
        <f t="shared" si="1"/>
        <v>2745.7865168539324</v>
      </c>
      <c r="AM24">
        <f t="shared" si="20"/>
        <v>4.6978260869565219E-2</v>
      </c>
      <c r="AN24" s="20">
        <v>11011.2</v>
      </c>
      <c r="AO24" s="20">
        <v>183685</v>
      </c>
      <c r="AP24" s="9">
        <v>1424</v>
      </c>
      <c r="AQ24" s="9">
        <v>3910000</v>
      </c>
      <c r="AR24" s="9">
        <v>1004964</v>
      </c>
      <c r="AS24" s="11">
        <v>0.99980000000000002</v>
      </c>
      <c r="AT24" s="20">
        <v>3597</v>
      </c>
      <c r="AU24" s="20">
        <v>104650.34</v>
      </c>
      <c r="AV24">
        <v>1025</v>
      </c>
      <c r="AW24">
        <v>2412000</v>
      </c>
      <c r="AX24">
        <f t="shared" si="21"/>
        <v>46000</v>
      </c>
      <c r="AY24">
        <f t="shared" si="4"/>
        <v>2416.4969450101835</v>
      </c>
      <c r="AZ24">
        <f t="shared" si="13"/>
        <v>2.5701643489254109E-3</v>
      </c>
      <c r="BA24">
        <f t="shared" si="14"/>
        <v>5.5921365360303413E-2</v>
      </c>
      <c r="BB24" s="20">
        <v>6099</v>
      </c>
      <c r="BC24">
        <v>2373000</v>
      </c>
      <c r="BD24">
        <v>132701.4</v>
      </c>
      <c r="BE24">
        <v>982</v>
      </c>
      <c r="BF24">
        <v>2636.77</v>
      </c>
      <c r="BG24" s="13">
        <v>1856000</v>
      </c>
      <c r="BH24" s="22">
        <v>68722.600000000006</v>
      </c>
      <c r="BI24" s="12">
        <v>755</v>
      </c>
      <c r="BJ24" s="12"/>
      <c r="BK24" s="12">
        <f t="shared" si="15"/>
        <v>3.7027262931034484E-2</v>
      </c>
      <c r="BL24" s="12">
        <f t="shared" si="16"/>
        <v>1.4206734913793104E-3</v>
      </c>
      <c r="BM24" s="12">
        <f t="shared" si="17"/>
        <v>2458.2781456953644</v>
      </c>
      <c r="BN24" s="12"/>
      <c r="BO24" s="12">
        <v>49614.7</v>
      </c>
      <c r="BP24" s="13">
        <v>1380584</v>
      </c>
      <c r="BQ24" s="12">
        <v>649</v>
      </c>
      <c r="BR24" s="12"/>
      <c r="BS24" s="12">
        <f t="shared" si="18"/>
        <v>1.5176944507190725E-3</v>
      </c>
      <c r="BT24" s="12">
        <f t="shared" si="7"/>
        <v>2113.126491646778</v>
      </c>
      <c r="BU24" s="12">
        <f t="shared" si="19"/>
        <v>4.8295986747985846E-2</v>
      </c>
      <c r="BV24" s="12">
        <v>4031.3</v>
      </c>
      <c r="BW24" s="12">
        <v>128283.8</v>
      </c>
      <c r="BX24" s="13">
        <v>2656200</v>
      </c>
      <c r="BY24" s="12">
        <v>1257</v>
      </c>
      <c r="BZ24" s="9">
        <v>2300000</v>
      </c>
      <c r="CA24" s="9">
        <v>1147</v>
      </c>
      <c r="CB24">
        <v>271409</v>
      </c>
    </row>
    <row r="25" spans="1:102" ht="16" x14ac:dyDescent="0.2">
      <c r="A25">
        <v>2022</v>
      </c>
      <c r="B25" s="3">
        <v>514575603</v>
      </c>
      <c r="C25" s="3">
        <v>4923</v>
      </c>
      <c r="D25" s="3">
        <f t="shared" si="5"/>
        <v>2353.3922764227641</v>
      </c>
      <c r="E25" s="3">
        <f t="shared" si="2"/>
        <v>2.1258881617868689E-3</v>
      </c>
      <c r="F25" s="3">
        <f t="shared" si="8"/>
        <v>4.9779811014890284E-2</v>
      </c>
      <c r="G25" s="3">
        <v>115277</v>
      </c>
      <c r="H25" s="3">
        <v>984</v>
      </c>
      <c r="I25" s="3">
        <v>114</v>
      </c>
      <c r="J25" s="4">
        <v>22428</v>
      </c>
      <c r="K25">
        <v>76.869643015653097</v>
      </c>
      <c r="L25">
        <v>44.891631742438982</v>
      </c>
      <c r="M25">
        <v>42.580664030000001</v>
      </c>
      <c r="N25" s="5">
        <v>26.701887660000001</v>
      </c>
      <c r="O25">
        <v>2315738</v>
      </c>
      <c r="P25" s="6">
        <v>467972</v>
      </c>
      <c r="Q25" s="10">
        <v>0.99</v>
      </c>
      <c r="R25" s="10">
        <v>0.96</v>
      </c>
      <c r="S25" s="20">
        <f t="shared" si="6"/>
        <v>3929.5774647887324</v>
      </c>
      <c r="T25">
        <f t="shared" si="9"/>
        <v>2.2149749103942649E-3</v>
      </c>
      <c r="U25">
        <f t="shared" si="10"/>
        <v>4.616451612903226E-2</v>
      </c>
      <c r="V25">
        <v>6179.78</v>
      </c>
      <c r="W25">
        <v>128799</v>
      </c>
      <c r="X25">
        <v>710</v>
      </c>
      <c r="Y25">
        <v>2790000</v>
      </c>
      <c r="Z25">
        <v>640671</v>
      </c>
      <c r="AA25" s="10">
        <v>1</v>
      </c>
      <c r="AB25">
        <f t="shared" si="11"/>
        <v>3.2580370370370372E-3</v>
      </c>
      <c r="AC25">
        <f t="shared" si="0"/>
        <v>1708.8607594936709</v>
      </c>
      <c r="AD25">
        <f t="shared" si="12"/>
        <v>7.0431567901234574E-2</v>
      </c>
      <c r="AE25" s="20">
        <v>2639.01</v>
      </c>
      <c r="AF25">
        <v>474</v>
      </c>
      <c r="AG25">
        <v>810000</v>
      </c>
      <c r="AH25">
        <v>57049.57</v>
      </c>
      <c r="AI25" s="9">
        <v>295420</v>
      </c>
      <c r="AJ25" s="10">
        <v>0.94</v>
      </c>
      <c r="AK25">
        <f t="shared" si="3"/>
        <v>4.0487696335078536E-3</v>
      </c>
      <c r="AL25">
        <f t="shared" si="1"/>
        <v>2336.3914373088687</v>
      </c>
      <c r="AM25">
        <f t="shared" si="20"/>
        <v>6.4014921465968586E-2</v>
      </c>
      <c r="AN25" s="20">
        <v>15466.3</v>
      </c>
      <c r="AO25" s="20">
        <v>244537</v>
      </c>
      <c r="AP25" s="9">
        <v>1635</v>
      </c>
      <c r="AQ25" s="9">
        <v>3820000</v>
      </c>
      <c r="AR25" s="9">
        <v>-90000</v>
      </c>
      <c r="AS25" s="11">
        <v>0.99990000000000001</v>
      </c>
      <c r="AT25" s="20">
        <v>5238</v>
      </c>
      <c r="AU25" s="20">
        <v>144835</v>
      </c>
      <c r="AV25">
        <v>1204</v>
      </c>
      <c r="AW25">
        <v>2537000</v>
      </c>
      <c r="AX25">
        <f t="shared" si="21"/>
        <v>125000</v>
      </c>
      <c r="AY25">
        <f t="shared" si="4"/>
        <v>2139.721639656816</v>
      </c>
      <c r="AZ25">
        <f t="shared" si="13"/>
        <v>1.3658071397257734E-3</v>
      </c>
      <c r="BA25">
        <f t="shared" si="14"/>
        <v>6.5010728122293471E-2</v>
      </c>
      <c r="BB25" s="20">
        <v>3065.6469999999999</v>
      </c>
      <c r="BC25">
        <v>2244568</v>
      </c>
      <c r="BD25">
        <v>145921</v>
      </c>
      <c r="BE25">
        <v>1049</v>
      </c>
      <c r="BF25">
        <v>4646.96</v>
      </c>
      <c r="BG25" s="13">
        <v>2051000</v>
      </c>
      <c r="BH25" s="22">
        <v>77822</v>
      </c>
      <c r="BI25" s="12">
        <v>905</v>
      </c>
      <c r="BJ25" s="12"/>
      <c r="BK25" s="12">
        <f t="shared" si="15"/>
        <v>3.7943442223305701E-2</v>
      </c>
      <c r="BL25" s="12">
        <f t="shared" si="16"/>
        <v>2.2657045343734764E-3</v>
      </c>
      <c r="BM25" s="12">
        <f t="shared" si="17"/>
        <v>2266.2983425414363</v>
      </c>
      <c r="BN25" s="12"/>
      <c r="BO25" s="12">
        <v>67228.5</v>
      </c>
      <c r="BP25" s="13">
        <v>1693833</v>
      </c>
      <c r="BQ25" s="12">
        <v>729</v>
      </c>
      <c r="BR25" s="12"/>
      <c r="BS25" s="12">
        <f t="shared" si="18"/>
        <v>3.0112504227567407E-3</v>
      </c>
      <c r="BT25" s="12">
        <f t="shared" si="7"/>
        <v>2005.0081699346406</v>
      </c>
      <c r="BU25" s="12">
        <f t="shared" si="19"/>
        <v>5.4229543667205893E-2</v>
      </c>
      <c r="BV25" s="12">
        <v>7390</v>
      </c>
      <c r="BW25" s="12">
        <v>133086.35</v>
      </c>
      <c r="BX25" s="13">
        <v>2454130</v>
      </c>
      <c r="BY25" s="12">
        <v>1224</v>
      </c>
      <c r="BZ25" s="9">
        <v>2630000</v>
      </c>
      <c r="CA25" s="9">
        <v>1189</v>
      </c>
      <c r="CB25">
        <v>341352</v>
      </c>
    </row>
    <row r="26" spans="1:102" ht="16" x14ac:dyDescent="0.2">
      <c r="A26">
        <v>2023</v>
      </c>
      <c r="B26" s="3">
        <v>521601202</v>
      </c>
      <c r="C26" s="3">
        <v>6967</v>
      </c>
      <c r="D26" s="3">
        <f>O26/H26</f>
        <v>2077.4750633981403</v>
      </c>
      <c r="E26" s="3">
        <f t="shared" si="2"/>
        <v>2.8348184222915115E-3</v>
      </c>
      <c r="F26" s="3">
        <f>G26/O26</f>
        <v>6.3864589508771177E-2</v>
      </c>
      <c r="G26" s="3">
        <v>156957</v>
      </c>
      <c r="H26" s="3">
        <v>1183</v>
      </c>
      <c r="I26" s="3">
        <v>199</v>
      </c>
      <c r="J26" s="4">
        <v>25790</v>
      </c>
      <c r="K26">
        <v>74.59</v>
      </c>
      <c r="L26">
        <v>54.812121212121212</v>
      </c>
      <c r="M26">
        <v>43.716969349999999</v>
      </c>
      <c r="N26" s="5">
        <v>31.349681199999999</v>
      </c>
      <c r="O26">
        <v>2457653</v>
      </c>
      <c r="P26" s="6">
        <v>141915</v>
      </c>
      <c r="Q26" s="10">
        <v>0.98</v>
      </c>
      <c r="R26" s="10">
        <v>0.95</v>
      </c>
      <c r="S26" s="20">
        <f>Y26/X26</f>
        <v>3779.4432548179871</v>
      </c>
      <c r="T26">
        <f>V26/Y26</f>
        <v>2.4351586402266289E-3</v>
      </c>
      <c r="U26">
        <f>W26/Y26</f>
        <v>4.9551274787535411E-2</v>
      </c>
      <c r="V26">
        <v>8596.11</v>
      </c>
      <c r="W26">
        <v>174916</v>
      </c>
      <c r="X26">
        <v>934</v>
      </c>
      <c r="Y26">
        <v>3530000</v>
      </c>
      <c r="Z26">
        <v>740000</v>
      </c>
      <c r="AA26" s="10">
        <v>1</v>
      </c>
      <c r="AB26">
        <f>AE26/AG26</f>
        <v>3.6407664233576646E-3</v>
      </c>
      <c r="AC26">
        <f>AG26/AF26</f>
        <v>1921.4586255259467</v>
      </c>
      <c r="AD26">
        <f>AH26/AG26</f>
        <v>6.3725430656934298E-2</v>
      </c>
      <c r="AE26" s="20">
        <v>4987.8500000000004</v>
      </c>
      <c r="AF26">
        <v>713</v>
      </c>
      <c r="AG26">
        <v>1370000</v>
      </c>
      <c r="AH26">
        <v>87303.84</v>
      </c>
      <c r="AI26" s="9">
        <v>560000</v>
      </c>
      <c r="AJ26" s="10">
        <v>0.98</v>
      </c>
      <c r="AK26">
        <f>AN26/AQ26</f>
        <v>4.3518779342723007E-3</v>
      </c>
      <c r="AL26">
        <f>AQ26/AP26</f>
        <v>2385.2183650615902</v>
      </c>
      <c r="AM26">
        <f>AO26/AQ26</f>
        <v>7.5903051643192485E-2</v>
      </c>
      <c r="AN26" s="20">
        <v>18539</v>
      </c>
      <c r="AO26" s="20">
        <v>323347</v>
      </c>
      <c r="AP26" s="9">
        <v>1786</v>
      </c>
      <c r="AQ26" s="9">
        <v>4260000</v>
      </c>
      <c r="AR26" s="9">
        <v>440000</v>
      </c>
      <c r="AS26" s="11">
        <v>0.99990000000000001</v>
      </c>
      <c r="AT26" s="20">
        <v>8397</v>
      </c>
      <c r="AU26" s="20">
        <v>211030.71</v>
      </c>
      <c r="AV26">
        <v>1206</v>
      </c>
      <c r="AW26">
        <v>3245000</v>
      </c>
      <c r="AX26">
        <f t="shared" si="21"/>
        <v>708000</v>
      </c>
      <c r="AY26">
        <f>BC26/BE26</f>
        <v>1960.1040763226365</v>
      </c>
      <c r="AZ26">
        <f t="shared" si="13"/>
        <v>3.5950884955752212E-3</v>
      </c>
      <c r="BA26">
        <f>BD26/BC26</f>
        <v>8.2450442477876112E-2</v>
      </c>
      <c r="BB26" s="20">
        <v>8124.9</v>
      </c>
      <c r="BC26">
        <v>2260000</v>
      </c>
      <c r="BD26">
        <v>186338</v>
      </c>
      <c r="BE26">
        <v>1153</v>
      </c>
      <c r="BF26">
        <v>8104.47</v>
      </c>
      <c r="BG26" s="13">
        <v>2773000</v>
      </c>
      <c r="BH26" s="22">
        <v>123347.4</v>
      </c>
      <c r="BI26" s="12">
        <v>1172</v>
      </c>
      <c r="BJ26" s="14">
        <v>0.94979999999999998</v>
      </c>
      <c r="BK26" s="12">
        <f>BH26/BG26</f>
        <v>4.4481572304363504E-2</v>
      </c>
      <c r="BL26" s="12">
        <f>BF26/BG26</f>
        <v>2.9226361341507393E-3</v>
      </c>
      <c r="BM26" s="12">
        <f>BG26/BI26</f>
        <v>2366.0409556313994</v>
      </c>
      <c r="BN26" s="15">
        <v>1</v>
      </c>
      <c r="BO26">
        <v>86860.800000000003</v>
      </c>
      <c r="BP26" s="13">
        <v>2129884</v>
      </c>
      <c r="BQ26" s="12">
        <v>768</v>
      </c>
      <c r="BR26" s="12"/>
      <c r="BS26" s="12">
        <f>BV26/BX26</f>
        <v>3.7275618374558303E-3</v>
      </c>
      <c r="BT26" s="12">
        <f>BX26/BY26</f>
        <v>2200.6220839813373</v>
      </c>
      <c r="BU26" s="12">
        <f>BW26/BX26</f>
        <v>5.4254024734982337E-2</v>
      </c>
      <c r="BV26" s="12">
        <v>10549</v>
      </c>
      <c r="BW26" s="12">
        <v>153538.89000000001</v>
      </c>
      <c r="BX26" s="13">
        <v>2830000</v>
      </c>
      <c r="BY26" s="12">
        <v>1286</v>
      </c>
      <c r="BZ26" s="9">
        <v>3000000</v>
      </c>
      <c r="CA26" s="9">
        <v>1411</v>
      </c>
      <c r="CB26">
        <v>449417</v>
      </c>
    </row>
    <row r="27" spans="1:102" ht="16" x14ac:dyDescent="0.2">
      <c r="BO27" s="15"/>
      <c r="BP27" s="13"/>
      <c r="BQ27" s="12"/>
      <c r="BR27" s="12"/>
      <c r="BS27" s="12"/>
      <c r="BT27" s="12"/>
      <c r="BU27" s="12"/>
      <c r="BV27" s="12"/>
      <c r="BW27" s="12"/>
      <c r="BX27" s="13"/>
      <c r="BY27" s="12"/>
      <c r="BZ27" s="9"/>
      <c r="CA27" s="9"/>
    </row>
    <row r="51" spans="69:98" ht="15" customHeight="1" x14ac:dyDescent="0.2">
      <c r="BQ51" s="16"/>
      <c r="BR51" s="16"/>
      <c r="BS51" s="16"/>
      <c r="BT51" s="16"/>
      <c r="BU51" s="16"/>
      <c r="BV51" s="16"/>
      <c r="BW51" s="16"/>
      <c r="BX51" s="16"/>
      <c r="BY51" s="16"/>
      <c r="BZ51" s="26"/>
      <c r="CA51" s="26"/>
      <c r="CB51" s="16"/>
      <c r="CC51" s="16"/>
      <c r="CD51" s="16"/>
      <c r="CE51" s="16"/>
      <c r="CF51" s="16"/>
      <c r="CG51" s="26"/>
      <c r="CH51" s="2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2"/>
    </row>
    <row r="52" spans="69:98" ht="15" customHeight="1" x14ac:dyDescent="0.2"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2"/>
    </row>
    <row r="53" spans="69:98" ht="15" customHeight="1" x14ac:dyDescent="0.2"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2"/>
    </row>
    <row r="54" spans="69:98" ht="15" customHeight="1" x14ac:dyDescent="0.2"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2"/>
    </row>
    <row r="55" spans="69:98" ht="15" customHeight="1" x14ac:dyDescent="0.2"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2"/>
    </row>
    <row r="56" spans="69:98" ht="15" customHeight="1" x14ac:dyDescent="0.2"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2"/>
    </row>
    <row r="57" spans="69:98" ht="15" customHeight="1" x14ac:dyDescent="0.2"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7"/>
      <c r="CM57" s="16"/>
      <c r="CN57" s="16"/>
      <c r="CO57" s="16"/>
      <c r="CP57" s="16"/>
      <c r="CQ57" s="17"/>
      <c r="CR57" s="16"/>
      <c r="CS57" s="16"/>
      <c r="CT57" s="12"/>
    </row>
    <row r="58" spans="69:98" ht="15" customHeight="1" x14ac:dyDescent="0.2">
      <c r="BQ58" s="16"/>
      <c r="BR58" s="17"/>
      <c r="BS58" s="17"/>
      <c r="BT58" s="17"/>
      <c r="BU58" s="17"/>
      <c r="BV58" s="17"/>
      <c r="BW58" s="17"/>
      <c r="BX58" s="16"/>
      <c r="BY58" s="16"/>
      <c r="BZ58" s="16"/>
      <c r="CA58" s="16"/>
      <c r="CB58" s="16"/>
      <c r="CC58" s="16"/>
      <c r="CD58" s="16"/>
      <c r="CE58" s="17"/>
      <c r="CF58" s="16"/>
      <c r="CG58" s="16"/>
      <c r="CH58" s="16"/>
      <c r="CI58" s="16"/>
      <c r="CJ58" s="16"/>
      <c r="CK58" s="16"/>
      <c r="CL58" s="17"/>
      <c r="CM58" s="16"/>
      <c r="CN58" s="16"/>
      <c r="CO58" s="16"/>
      <c r="CP58" s="16"/>
      <c r="CQ58" s="17"/>
      <c r="CR58" s="16"/>
      <c r="CS58" s="16"/>
      <c r="CT58" s="12"/>
    </row>
    <row r="59" spans="69:98" ht="15" customHeight="1" x14ac:dyDescent="0.2">
      <c r="BQ59" s="16"/>
      <c r="BR59" s="17"/>
      <c r="BS59" s="17"/>
      <c r="BT59" s="17"/>
      <c r="BU59" s="17"/>
      <c r="BV59" s="17"/>
      <c r="BW59" s="17"/>
      <c r="BX59" s="16"/>
      <c r="BY59" s="16"/>
      <c r="BZ59" s="16"/>
      <c r="CA59" s="16"/>
      <c r="CB59" s="16"/>
      <c r="CC59" s="16"/>
      <c r="CD59" s="16"/>
      <c r="CE59" s="17"/>
      <c r="CF59" s="16"/>
      <c r="CG59" s="16"/>
      <c r="CH59" s="16"/>
      <c r="CI59" s="16"/>
      <c r="CJ59" s="16"/>
      <c r="CK59" s="16"/>
      <c r="CL59" s="17"/>
      <c r="CM59" s="16"/>
      <c r="CN59" s="16"/>
      <c r="CO59" s="16"/>
      <c r="CP59" s="16"/>
      <c r="CQ59" s="17"/>
      <c r="CR59" s="16"/>
      <c r="CS59" s="16"/>
      <c r="CT59" s="12"/>
    </row>
    <row r="60" spans="69:98" ht="15" customHeight="1" x14ac:dyDescent="0.2">
      <c r="BQ60" s="16"/>
      <c r="BR60" s="17"/>
      <c r="BS60" s="17"/>
      <c r="BT60" s="17"/>
      <c r="BU60" s="17"/>
      <c r="BV60" s="17"/>
      <c r="BW60" s="17"/>
      <c r="BX60" s="16"/>
      <c r="BY60" s="16"/>
      <c r="BZ60" s="16"/>
      <c r="CA60" s="16"/>
      <c r="CB60" s="16"/>
      <c r="CC60" s="16"/>
      <c r="CD60" s="16"/>
      <c r="CE60" s="17"/>
      <c r="CF60" s="16"/>
      <c r="CG60" s="16"/>
      <c r="CH60" s="16"/>
      <c r="CI60" s="16"/>
      <c r="CJ60" s="16"/>
      <c r="CK60" s="16"/>
      <c r="CL60" s="17"/>
      <c r="CM60" s="16"/>
      <c r="CN60" s="16"/>
      <c r="CO60" s="16"/>
      <c r="CP60" s="16"/>
      <c r="CQ60" s="17"/>
      <c r="CR60" s="16"/>
      <c r="CS60" s="16"/>
      <c r="CT60" s="12"/>
    </row>
    <row r="61" spans="69:98" ht="15" customHeight="1" x14ac:dyDescent="0.2">
      <c r="BQ61" s="16"/>
      <c r="BR61" s="17"/>
      <c r="BS61" s="17"/>
      <c r="BT61" s="17"/>
      <c r="BU61" s="17"/>
      <c r="BV61" s="17"/>
      <c r="BW61" s="17"/>
      <c r="BX61" s="16"/>
      <c r="BY61" s="16"/>
      <c r="BZ61" s="16"/>
      <c r="CA61" s="16"/>
      <c r="CB61" s="16"/>
      <c r="CC61" s="16"/>
      <c r="CD61" s="16"/>
      <c r="CE61" s="17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7"/>
      <c r="CR61" s="17"/>
      <c r="CS61" s="16"/>
      <c r="CT61" s="12"/>
    </row>
    <row r="62" spans="69:98" ht="15" customHeight="1" x14ac:dyDescent="0.2">
      <c r="BQ62" s="16"/>
      <c r="BR62" s="17"/>
      <c r="BS62" s="17"/>
      <c r="BT62" s="17"/>
      <c r="BU62" s="17"/>
      <c r="BV62" s="17"/>
      <c r="BW62" s="17"/>
      <c r="BX62" s="16"/>
      <c r="BY62" s="16"/>
      <c r="BZ62" s="16"/>
      <c r="CA62" s="16"/>
      <c r="CB62" s="16"/>
      <c r="CC62" s="16"/>
      <c r="CD62" s="16"/>
      <c r="CE62" s="17"/>
      <c r="CF62" s="16"/>
      <c r="CG62" s="16"/>
      <c r="CH62" s="16"/>
      <c r="CI62" s="16"/>
      <c r="CJ62" s="16"/>
      <c r="CK62" s="16"/>
      <c r="CL62" s="17"/>
      <c r="CM62" s="16"/>
      <c r="CN62" s="16"/>
      <c r="CO62" s="16"/>
      <c r="CP62" s="16"/>
      <c r="CQ62" s="17"/>
      <c r="CR62" s="17"/>
      <c r="CS62" s="16"/>
      <c r="CT62" s="12"/>
    </row>
    <row r="63" spans="69:98" ht="15" customHeight="1" x14ac:dyDescent="0.2">
      <c r="BQ63" s="16"/>
      <c r="BR63" s="17"/>
      <c r="BS63" s="17"/>
      <c r="BT63" s="17"/>
      <c r="BU63" s="17"/>
      <c r="BV63" s="17"/>
      <c r="BW63" s="17"/>
      <c r="BX63" s="16"/>
      <c r="BY63" s="16"/>
      <c r="BZ63" s="16"/>
      <c r="CA63" s="16"/>
      <c r="CB63" s="16"/>
      <c r="CC63" s="16"/>
      <c r="CD63" s="16"/>
      <c r="CE63" s="17"/>
      <c r="CF63" s="16"/>
      <c r="CG63" s="16"/>
      <c r="CH63" s="16"/>
      <c r="CI63" s="16"/>
      <c r="CJ63" s="16"/>
      <c r="CK63" s="16"/>
      <c r="CL63" s="17"/>
      <c r="CM63" s="16"/>
      <c r="CN63" s="16"/>
      <c r="CO63" s="16"/>
      <c r="CP63" s="16"/>
      <c r="CQ63" s="17"/>
      <c r="CR63" s="17"/>
      <c r="CS63" s="16"/>
      <c r="CT63" s="12"/>
    </row>
    <row r="64" spans="69:98" ht="15" customHeight="1" x14ac:dyDescent="0.2">
      <c r="BQ64" s="16"/>
      <c r="BR64" s="17"/>
      <c r="BS64" s="17"/>
      <c r="BT64" s="17"/>
      <c r="BU64" s="17"/>
      <c r="BV64" s="17"/>
      <c r="BW64" s="17"/>
      <c r="BX64" s="16"/>
      <c r="BY64" s="16"/>
      <c r="BZ64" s="16"/>
      <c r="CA64" s="16"/>
      <c r="CB64" s="16"/>
      <c r="CC64" s="16"/>
      <c r="CD64" s="16"/>
      <c r="CE64" s="17"/>
      <c r="CF64" s="16"/>
      <c r="CG64" s="16"/>
      <c r="CH64" s="16"/>
      <c r="CI64" s="16"/>
      <c r="CJ64" s="16"/>
      <c r="CK64" s="16"/>
      <c r="CL64" s="17"/>
      <c r="CM64" s="16"/>
      <c r="CN64" s="16"/>
      <c r="CO64" s="16"/>
      <c r="CP64" s="16"/>
      <c r="CQ64" s="17"/>
      <c r="CR64" s="17"/>
      <c r="CS64" s="16"/>
      <c r="CT64" s="12"/>
    </row>
    <row r="65" spans="69:98" ht="15" customHeight="1" x14ac:dyDescent="0.2">
      <c r="BQ65" s="16"/>
      <c r="BR65" s="17"/>
      <c r="BS65" s="17"/>
      <c r="BT65" s="17"/>
      <c r="BU65" s="17"/>
      <c r="BV65" s="17"/>
      <c r="BW65" s="17"/>
      <c r="BX65" s="16"/>
      <c r="BY65" s="18"/>
      <c r="BZ65" s="19"/>
      <c r="CA65" s="16"/>
      <c r="CB65" s="16"/>
      <c r="CC65" s="16"/>
      <c r="CD65" s="16"/>
      <c r="CE65" s="17"/>
      <c r="CF65" s="16"/>
      <c r="CG65" s="16"/>
      <c r="CH65" s="16"/>
      <c r="CI65" s="16"/>
      <c r="CJ65" s="16"/>
      <c r="CK65" s="16"/>
      <c r="CL65" s="17"/>
      <c r="CM65" s="16"/>
      <c r="CN65" s="16"/>
      <c r="CO65" s="16"/>
      <c r="CP65" s="16"/>
      <c r="CQ65" s="17"/>
      <c r="CR65" s="17"/>
      <c r="CS65" s="16"/>
      <c r="CT65" s="12"/>
    </row>
  </sheetData>
  <mergeCells count="2">
    <mergeCell ref="BZ51:CA51"/>
    <mergeCell ref="CG51:CH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Taha Khan</dc:creator>
  <cp:keywords/>
  <dc:description/>
  <cp:lastModifiedBy>Taha Khan</cp:lastModifiedBy>
  <cp:revision/>
  <dcterms:created xsi:type="dcterms:W3CDTF">2024-09-03T19:29:22Z</dcterms:created>
  <dcterms:modified xsi:type="dcterms:W3CDTF">2026-02-06T03:36:23Z</dcterms:modified>
  <cp:category/>
  <cp:contentStatus/>
</cp:coreProperties>
</file>